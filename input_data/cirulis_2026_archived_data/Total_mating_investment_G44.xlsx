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vars\Dropbox\PhD-Dropbox\"/>
    </mc:Choice>
  </mc:AlternateContent>
  <bookViews>
    <workbookView xWindow="0" yWindow="0" windowWidth="23040" windowHeight="9876"/>
  </bookViews>
  <sheets>
    <sheet name="Sheet1" sheetId="1" r:id="rId1"/>
  </sheets>
  <definedNames>
    <definedName name="_xlnm._FilterDatabase" localSheetId="0" hidden="1">Sheet1!$A$1:$Y$122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2" i="1"/>
</calcChain>
</file>

<file path=xl/sharedStrings.xml><?xml version="1.0" encoding="utf-8"?>
<sst xmlns="http://schemas.openxmlformats.org/spreadsheetml/2006/main" count="630" uniqueCount="152">
  <si>
    <t>Generation</t>
  </si>
  <si>
    <t>Population</t>
  </si>
  <si>
    <t>Subpopulation</t>
  </si>
  <si>
    <t>Video</t>
  </si>
  <si>
    <t>Droplet</t>
  </si>
  <si>
    <t>worm ID</t>
  </si>
  <si>
    <t>mating</t>
  </si>
  <si>
    <t>mating start</t>
  </si>
  <si>
    <t>mating start s</t>
  </si>
  <si>
    <t>mating end</t>
  </si>
  <si>
    <t>mating end s</t>
  </si>
  <si>
    <t>mating time</t>
  </si>
  <si>
    <t>mating time s</t>
  </si>
  <si>
    <t>average mating time</t>
  </si>
  <si>
    <t>matings</t>
  </si>
  <si>
    <t>Time since mating</t>
  </si>
  <si>
    <t>Green suck</t>
  </si>
  <si>
    <t>White suck</t>
  </si>
  <si>
    <t>Treatment</t>
  </si>
  <si>
    <t>1a</t>
  </si>
  <si>
    <t>41a11</t>
  </si>
  <si>
    <t>NA</t>
  </si>
  <si>
    <t>F</t>
  </si>
  <si>
    <t>41a14</t>
  </si>
  <si>
    <t>41a21</t>
  </si>
  <si>
    <t>41a24</t>
  </si>
  <si>
    <t>41a31</t>
  </si>
  <si>
    <t>41a34</t>
  </si>
  <si>
    <t>1b</t>
  </si>
  <si>
    <t>41b21</t>
  </si>
  <si>
    <t>41b24</t>
  </si>
  <si>
    <t>41b31</t>
  </si>
  <si>
    <t>41b34</t>
  </si>
  <si>
    <t>2a</t>
  </si>
  <si>
    <t>42a11</t>
  </si>
  <si>
    <t>42a14</t>
  </si>
  <si>
    <t>42a21</t>
  </si>
  <si>
    <t>42a31</t>
  </si>
  <si>
    <t>42a34</t>
  </si>
  <si>
    <t>2b</t>
  </si>
  <si>
    <t>42b11</t>
  </si>
  <si>
    <t>42b14</t>
  </si>
  <si>
    <t>42b21</t>
  </si>
  <si>
    <t>42b24</t>
  </si>
  <si>
    <t>42b31</t>
  </si>
  <si>
    <t>42b34</t>
  </si>
  <si>
    <t>3a</t>
  </si>
  <si>
    <t>43a11</t>
  </si>
  <si>
    <t>43a14</t>
  </si>
  <si>
    <t>43a21</t>
  </si>
  <si>
    <t>43a24</t>
  </si>
  <si>
    <t>43a31</t>
  </si>
  <si>
    <t>43a34</t>
  </si>
  <si>
    <t>3b</t>
  </si>
  <si>
    <t>43b14</t>
  </si>
  <si>
    <t>43b31</t>
  </si>
  <si>
    <t>43b34</t>
  </si>
  <si>
    <t>4a</t>
  </si>
  <si>
    <t>44a11</t>
  </si>
  <si>
    <t>44a14</t>
  </si>
  <si>
    <t>44a21</t>
  </si>
  <si>
    <t>44a24</t>
  </si>
  <si>
    <t>44b31</t>
  </si>
  <si>
    <t>44b34</t>
  </si>
  <si>
    <t>4b</t>
  </si>
  <si>
    <t>44b11</t>
  </si>
  <si>
    <t>44b14</t>
  </si>
  <si>
    <t>44b24</t>
  </si>
  <si>
    <t>41a12</t>
  </si>
  <si>
    <t>M</t>
  </si>
  <si>
    <t>41a15</t>
  </si>
  <si>
    <t>41a22</t>
  </si>
  <si>
    <t>41a25</t>
  </si>
  <si>
    <t>41b12</t>
  </si>
  <si>
    <t>41b15</t>
  </si>
  <si>
    <t>41b22</t>
  </si>
  <si>
    <t>41b25</t>
  </si>
  <si>
    <t>41b35</t>
  </si>
  <si>
    <t>42a12</t>
  </si>
  <si>
    <t>42a15</t>
  </si>
  <si>
    <t>42a22</t>
  </si>
  <si>
    <t>42a25</t>
  </si>
  <si>
    <t>42a32</t>
  </si>
  <si>
    <t>42a35</t>
  </si>
  <si>
    <t>42b12</t>
  </si>
  <si>
    <t>42b15</t>
  </si>
  <si>
    <t>42b22</t>
  </si>
  <si>
    <t>42b25</t>
  </si>
  <si>
    <t>42b32</t>
  </si>
  <si>
    <t>43a12</t>
  </si>
  <si>
    <t>43a15</t>
  </si>
  <si>
    <t>43a22</t>
  </si>
  <si>
    <t>43a25</t>
  </si>
  <si>
    <t>43a35</t>
  </si>
  <si>
    <t>43b22</t>
  </si>
  <si>
    <t>43b25</t>
  </si>
  <si>
    <t>43b32</t>
  </si>
  <si>
    <t>43b35</t>
  </si>
  <si>
    <t>44a12</t>
  </si>
  <si>
    <t>44a15</t>
  </si>
  <si>
    <t>44a22</t>
  </si>
  <si>
    <t>44a25</t>
  </si>
  <si>
    <t>44b32</t>
  </si>
  <si>
    <t>44b35</t>
  </si>
  <si>
    <t>44b12</t>
  </si>
  <si>
    <t>44b15</t>
  </si>
  <si>
    <t>44b25</t>
  </si>
  <si>
    <t>41a13</t>
  </si>
  <si>
    <t>C</t>
  </si>
  <si>
    <t>41a16</t>
  </si>
  <si>
    <t>41a23</t>
  </si>
  <si>
    <t>41a26</t>
  </si>
  <si>
    <t>41a33</t>
  </si>
  <si>
    <t>41a36</t>
  </si>
  <si>
    <t>41b16</t>
  </si>
  <si>
    <t>41b23</t>
  </si>
  <si>
    <t>41b26</t>
  </si>
  <si>
    <t>41b33</t>
  </si>
  <si>
    <t>41b36</t>
  </si>
  <si>
    <t>42a13</t>
  </si>
  <si>
    <t>42a16</t>
  </si>
  <si>
    <t>42a23</t>
  </si>
  <si>
    <t>42a26</t>
  </si>
  <si>
    <t>42a33</t>
  </si>
  <si>
    <t>42a36</t>
  </si>
  <si>
    <t>42b13</t>
  </si>
  <si>
    <t>42b16</t>
  </si>
  <si>
    <t>42b23</t>
  </si>
  <si>
    <t>42b26</t>
  </si>
  <si>
    <t>42b33</t>
  </si>
  <si>
    <t>43a23</t>
  </si>
  <si>
    <t>43a26</t>
  </si>
  <si>
    <t>43a33</t>
  </si>
  <si>
    <t>43a36</t>
  </si>
  <si>
    <t>43b23</t>
  </si>
  <si>
    <t>43b33</t>
  </si>
  <si>
    <t>43b36</t>
  </si>
  <si>
    <t>44a13</t>
  </si>
  <si>
    <t>44a16</t>
  </si>
  <si>
    <t>44a23</t>
  </si>
  <si>
    <t>44a26</t>
  </si>
  <si>
    <t>44b33</t>
  </si>
  <si>
    <t>44b36</t>
  </si>
  <si>
    <t>44b13</t>
  </si>
  <si>
    <t>44b16</t>
  </si>
  <si>
    <t>44b23</t>
  </si>
  <si>
    <t>44b26</t>
  </si>
  <si>
    <t>Mating investment</t>
  </si>
  <si>
    <t>Green sucks</t>
  </si>
  <si>
    <t>White sucks</t>
  </si>
  <si>
    <t>Ratio_green_sucking</t>
  </si>
  <si>
    <t>Ratio_white_sucking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</si>
</sst>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</font>
    <font>
      <b/>
      <sz val="11"/>
      <name val="Arial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" fontId="2" fillId="0" borderId="0" xfId="0" applyNumberFormat="1" applyFont="1" applyAlignment="1"/>
    <xf numFmtId="164" fontId="3" fillId="2" borderId="0" xfId="0" applyNumberFormat="1" applyFont="1" applyFill="1"/>
    <xf numFmtId="1" fontId="3" fillId="2" borderId="0" xfId="0" applyNumberFormat="1" applyFont="1" applyFill="1"/>
    <xf numFmtId="164" fontId="1" fillId="3" borderId="0" xfId="0" applyNumberFormat="1" applyFont="1" applyFill="1"/>
    <xf numFmtId="1" fontId="3" fillId="3" borderId="0" xfId="0" applyNumberFormat="1" applyFont="1" applyFill="1"/>
    <xf numFmtId="164" fontId="1" fillId="4" borderId="0" xfId="0" applyNumberFormat="1" applyFont="1" applyFill="1"/>
    <xf numFmtId="1" fontId="3" fillId="4" borderId="0" xfId="0" applyNumberFormat="1" applyFont="1" applyFill="1"/>
    <xf numFmtId="164" fontId="1" fillId="5" borderId="0" xfId="0" applyNumberFormat="1" applyFont="1" applyFill="1"/>
    <xf numFmtId="1" fontId="1" fillId="5" borderId="0" xfId="0" applyNumberFormat="1" applyFont="1" applyFill="1"/>
    <xf numFmtId="1" fontId="1" fillId="6" borderId="0" xfId="0" applyNumberFormat="1" applyFont="1" applyFill="1"/>
    <xf numFmtId="1" fontId="1" fillId="7" borderId="0" xfId="0" applyNumberFormat="1" applyFont="1" applyFill="1"/>
    <xf numFmtId="0" fontId="4" fillId="0" borderId="0" xfId="0" applyFont="1" applyAlignment="1"/>
    <xf numFmtId="0" fontId="5" fillId="0" borderId="0" xfId="0" applyFont="1"/>
    <xf numFmtId="1" fontId="5" fillId="0" borderId="0" xfId="0" applyNumberFormat="1" applyFont="1"/>
    <xf numFmtId="164" fontId="5" fillId="2" borderId="0" xfId="0" applyNumberFormat="1" applyFont="1" applyFill="1"/>
    <xf numFmtId="1" fontId="5" fillId="2" borderId="0" xfId="0" applyNumberFormat="1" applyFont="1" applyFill="1"/>
    <xf numFmtId="164" fontId="5" fillId="3" borderId="0" xfId="0" applyNumberFormat="1" applyFont="1" applyFill="1"/>
    <xf numFmtId="1" fontId="5" fillId="3" borderId="0" xfId="0" applyNumberFormat="1" applyFont="1" applyFill="1"/>
    <xf numFmtId="164" fontId="5" fillId="4" borderId="0" xfId="0" applyNumberFormat="1" applyFont="1" applyFill="1"/>
    <xf numFmtId="1" fontId="5" fillId="4" borderId="0" xfId="0" applyNumberFormat="1" applyFont="1" applyFill="1"/>
    <xf numFmtId="164" fontId="5" fillId="5" borderId="0" xfId="0" applyNumberFormat="1" applyFont="1" applyFill="1"/>
    <xf numFmtId="1" fontId="5" fillId="6" borderId="0" xfId="0" applyNumberFormat="1" applyFont="1" applyFill="1"/>
    <xf numFmtId="1" fontId="5" fillId="7" borderId="0" xfId="0" applyNumberFormat="1" applyFont="1" applyFill="1"/>
    <xf numFmtId="0" fontId="5" fillId="0" borderId="0" xfId="0" applyFont="1" applyAlignment="1"/>
    <xf numFmtId="1" fontId="6" fillId="0" borderId="0" xfId="0" applyNumberFormat="1" applyFont="1" applyAlignment="1"/>
    <xf numFmtId="164" fontId="6" fillId="2" borderId="0" xfId="0" applyNumberFormat="1" applyFont="1" applyFill="1" applyAlignment="1"/>
    <xf numFmtId="164" fontId="6" fillId="3" borderId="0" xfId="0" applyNumberFormat="1" applyFont="1" applyFill="1" applyAlignment="1"/>
    <xf numFmtId="1" fontId="5" fillId="6" borderId="0" xfId="0" applyNumberFormat="1" applyFont="1" applyFill="1" applyAlignment="1"/>
    <xf numFmtId="1" fontId="6" fillId="7" borderId="0" xfId="0" applyNumberFormat="1" applyFont="1" applyFill="1" applyAlignment="1"/>
    <xf numFmtId="164" fontId="5" fillId="7" borderId="0" xfId="0" applyNumberFormat="1" applyFont="1" applyFill="1"/>
    <xf numFmtId="164" fontId="5" fillId="5" borderId="0" xfId="0" applyNumberFormat="1" applyFont="1" applyFill="1" applyAlignment="1"/>
    <xf numFmtId="0" fontId="5" fillId="6" borderId="0" xfId="0" applyFont="1" applyFill="1" applyAlignment="1"/>
    <xf numFmtId="0" fontId="5" fillId="7" borderId="0" xfId="0" applyFont="1" applyFill="1" applyAlignment="1"/>
    <xf numFmtId="164" fontId="1" fillId="5" borderId="0" xfId="0" applyNumberFormat="1" applyFont="1" applyFill="1" applyAlignment="1"/>
    <xf numFmtId="0" fontId="2" fillId="0" borderId="0" xfId="0" applyFont="1" applyAlignment="1"/>
    <xf numFmtId="164" fontId="3" fillId="5" borderId="0" xfId="0" applyNumberFormat="1" applyFont="1" applyFill="1" applyAlignment="1"/>
    <xf numFmtId="0" fontId="7" fillId="0" borderId="1" xfId="0" applyFont="1" applyBorder="1"/>
    <xf numFmtId="0" fontId="8" fillId="0" borderId="1" xfId="0" applyFont="1" applyBorder="1"/>
    <xf numFmtId="0" fontId="7" fillId="0" borderId="0" xfId="0" applyFont="1" applyBorder="1"/>
    <xf numFmtId="0" fontId="6" fillId="0" borderId="0" xfId="0" applyFont="1" applyAlignment="1"/>
    <xf numFmtId="0" fontId="9" fillId="0" borderId="1" xfId="0" applyFont="1" applyBorder="1"/>
    <xf numFmtId="0" fontId="0" fillId="0" borderId="1" xfId="0" applyFont="1" applyBorder="1"/>
    <xf numFmtId="2" fontId="10" fillId="0" borderId="1" xfId="0" applyNumberFormat="1" applyFont="1" applyBorder="1"/>
    <xf numFmtId="2" fontId="7" fillId="0" borderId="1" xfId="0" applyNumberFormat="1" applyFont="1" applyBorder="1"/>
    <xf numFmtId="2" fontId="11" fillId="0" borderId="1" xfId="0" applyNumberFormat="1" applyFont="1" applyBorder="1"/>
  </cellXfs>
  <cellStyles count="1">
    <cellStyle name="Normal" xfId="0" builtinId="0"/>
  </cellStyles>
  <dxfs count="21"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22"/>
  <sheetViews>
    <sheetView tabSelected="1" topLeftCell="D1" workbookViewId="0">
      <selection activeCell="N1" sqref="N1:O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148</v>
      </c>
      <c r="Q1" s="8" t="s">
        <v>149</v>
      </c>
      <c r="R1" s="45" t="s">
        <v>150</v>
      </c>
      <c r="S1" s="38" t="s">
        <v>151</v>
      </c>
      <c r="T1" s="8" t="s">
        <v>147</v>
      </c>
      <c r="U1" s="9" t="s">
        <v>15</v>
      </c>
      <c r="V1" s="10" t="s">
        <v>15</v>
      </c>
      <c r="W1" s="11" t="s">
        <v>16</v>
      </c>
      <c r="X1" s="12" t="s">
        <v>17</v>
      </c>
      <c r="Y1" s="13" t="s">
        <v>18</v>
      </c>
    </row>
    <row r="2" spans="1:25" hidden="1" x14ac:dyDescent="0.3">
      <c r="A2" s="14">
        <v>44</v>
      </c>
      <c r="B2" s="14">
        <v>1</v>
      </c>
      <c r="C2" s="14" t="s">
        <v>19</v>
      </c>
      <c r="D2" s="14">
        <v>1</v>
      </c>
      <c r="E2" s="14">
        <v>1</v>
      </c>
      <c r="F2" s="15" t="s">
        <v>20</v>
      </c>
      <c r="G2" s="15">
        <v>1</v>
      </c>
      <c r="H2" s="16">
        <v>3.2870370370370367E-3</v>
      </c>
      <c r="I2" s="17">
        <v>284</v>
      </c>
      <c r="J2" s="18">
        <v>3.4375E-3</v>
      </c>
      <c r="K2" s="19">
        <v>297</v>
      </c>
      <c r="L2" s="20">
        <v>1.5046296296296335E-4</v>
      </c>
      <c r="M2" s="21">
        <v>13</v>
      </c>
      <c r="N2" s="21">
        <v>11.4</v>
      </c>
      <c r="O2" s="38">
        <v>49</v>
      </c>
      <c r="P2" s="38">
        <v>15</v>
      </c>
      <c r="Q2" s="42">
        <v>18</v>
      </c>
      <c r="R2" s="44">
        <v>0.30612244897959184</v>
      </c>
      <c r="S2" s="44">
        <v>0.36734693877551022</v>
      </c>
      <c r="T2" s="40">
        <f t="shared" ref="T2:T33" si="0">O2*N2</f>
        <v>558.6</v>
      </c>
      <c r="U2" s="22" t="s">
        <v>21</v>
      </c>
      <c r="V2" s="22" t="s">
        <v>21</v>
      </c>
      <c r="W2" s="23">
        <v>1</v>
      </c>
      <c r="X2" s="24">
        <v>0</v>
      </c>
      <c r="Y2" s="25" t="s">
        <v>22</v>
      </c>
    </row>
    <row r="3" spans="1:25" hidden="1" x14ac:dyDescent="0.3">
      <c r="A3" s="14">
        <v>44</v>
      </c>
      <c r="B3" s="14">
        <v>1</v>
      </c>
      <c r="C3" s="14" t="s">
        <v>19</v>
      </c>
      <c r="D3" s="14">
        <v>1</v>
      </c>
      <c r="E3" s="14">
        <v>4</v>
      </c>
      <c r="F3" s="15" t="s">
        <v>23</v>
      </c>
      <c r="G3" s="26">
        <v>1</v>
      </c>
      <c r="H3" s="16">
        <v>2.9097222222222222E-2</v>
      </c>
      <c r="I3" s="17">
        <v>2514</v>
      </c>
      <c r="J3" s="18">
        <v>2.9189814814814811E-2</v>
      </c>
      <c r="K3" s="19">
        <v>2522</v>
      </c>
      <c r="L3" s="20">
        <v>9.2592592592588563E-5</v>
      </c>
      <c r="M3" s="21">
        <v>8</v>
      </c>
      <c r="N3" s="21">
        <v>13.2</v>
      </c>
      <c r="O3" s="38">
        <v>17</v>
      </c>
      <c r="P3" s="38">
        <v>0</v>
      </c>
      <c r="Q3" s="42">
        <v>1</v>
      </c>
      <c r="R3" s="44">
        <v>0</v>
      </c>
      <c r="S3" s="44">
        <v>5.8823529411764705E-2</v>
      </c>
      <c r="T3" s="40">
        <f t="shared" si="0"/>
        <v>224.39999999999998</v>
      </c>
      <c r="U3" s="22" t="s">
        <v>21</v>
      </c>
      <c r="V3" s="22" t="s">
        <v>21</v>
      </c>
      <c r="W3" s="23">
        <v>0</v>
      </c>
      <c r="X3" s="24">
        <v>0</v>
      </c>
      <c r="Y3" s="25" t="s">
        <v>22</v>
      </c>
    </row>
    <row r="4" spans="1:25" hidden="1" x14ac:dyDescent="0.3">
      <c r="A4" s="14">
        <v>44</v>
      </c>
      <c r="B4" s="14">
        <v>1</v>
      </c>
      <c r="C4" s="14" t="s">
        <v>19</v>
      </c>
      <c r="D4" s="14">
        <v>2</v>
      </c>
      <c r="E4" s="14">
        <v>1</v>
      </c>
      <c r="F4" s="15" t="s">
        <v>24</v>
      </c>
      <c r="G4" s="26">
        <v>1</v>
      </c>
      <c r="H4" s="16">
        <v>3.0324074074074073E-3</v>
      </c>
      <c r="I4" s="17">
        <v>262</v>
      </c>
      <c r="J4" s="18">
        <v>3.0902777777777782E-3</v>
      </c>
      <c r="K4" s="19">
        <v>267</v>
      </c>
      <c r="L4" s="20">
        <v>5.7870370370370888E-5</v>
      </c>
      <c r="M4" s="21">
        <v>5</v>
      </c>
      <c r="N4" s="21">
        <v>13.4</v>
      </c>
      <c r="O4" s="39">
        <v>34</v>
      </c>
      <c r="P4" s="39">
        <v>1</v>
      </c>
      <c r="Q4" s="43">
        <v>1</v>
      </c>
      <c r="R4" s="46">
        <v>2.9411764705882353E-2</v>
      </c>
      <c r="S4" s="46">
        <v>2.9411764705882353E-2</v>
      </c>
      <c r="T4" s="40">
        <f t="shared" si="0"/>
        <v>455.6</v>
      </c>
      <c r="U4" s="22" t="s">
        <v>21</v>
      </c>
      <c r="V4" s="22" t="s">
        <v>21</v>
      </c>
      <c r="W4" s="23">
        <v>1</v>
      </c>
      <c r="X4" s="24">
        <v>0</v>
      </c>
      <c r="Y4" s="25" t="s">
        <v>22</v>
      </c>
    </row>
    <row r="5" spans="1:25" hidden="1" x14ac:dyDescent="0.3">
      <c r="A5" s="14">
        <v>44</v>
      </c>
      <c r="B5" s="14">
        <v>1</v>
      </c>
      <c r="C5" s="14" t="s">
        <v>19</v>
      </c>
      <c r="D5" s="14">
        <v>2</v>
      </c>
      <c r="E5" s="14">
        <v>4</v>
      </c>
      <c r="F5" s="15" t="s">
        <v>25</v>
      </c>
      <c r="G5" s="26">
        <v>1</v>
      </c>
      <c r="H5" s="16">
        <v>6.5740740740740733E-3</v>
      </c>
      <c r="I5" s="17">
        <v>568</v>
      </c>
      <c r="J5" s="18">
        <v>6.7013888888888887E-3</v>
      </c>
      <c r="K5" s="19">
        <v>579</v>
      </c>
      <c r="L5" s="20">
        <v>1.2731481481481535E-4</v>
      </c>
      <c r="M5" s="21">
        <v>11</v>
      </c>
      <c r="N5" s="21">
        <v>10.4</v>
      </c>
      <c r="O5" s="38">
        <v>51</v>
      </c>
      <c r="P5" s="38">
        <v>8</v>
      </c>
      <c r="Q5" s="42">
        <v>2</v>
      </c>
      <c r="R5" s="44">
        <v>0.15686274509803921</v>
      </c>
      <c r="S5" s="44">
        <v>3.9215686274509803E-2</v>
      </c>
      <c r="T5" s="40">
        <f t="shared" si="0"/>
        <v>530.4</v>
      </c>
      <c r="U5" s="22" t="s">
        <v>21</v>
      </c>
      <c r="V5" s="22" t="s">
        <v>21</v>
      </c>
      <c r="W5" s="23">
        <v>1</v>
      </c>
      <c r="X5" s="24">
        <v>1</v>
      </c>
      <c r="Y5" s="25" t="s">
        <v>22</v>
      </c>
    </row>
    <row r="6" spans="1:25" hidden="1" x14ac:dyDescent="0.3">
      <c r="A6" s="14">
        <v>44</v>
      </c>
      <c r="B6" s="14">
        <v>1</v>
      </c>
      <c r="C6" s="14" t="s">
        <v>19</v>
      </c>
      <c r="D6" s="14">
        <v>3</v>
      </c>
      <c r="E6" s="14">
        <v>1</v>
      </c>
      <c r="F6" s="15" t="s">
        <v>26</v>
      </c>
      <c r="G6" s="26">
        <v>1</v>
      </c>
      <c r="H6" s="16">
        <v>4.2511574074074077E-2</v>
      </c>
      <c r="I6" s="17">
        <v>3673</v>
      </c>
      <c r="J6" s="18">
        <v>4.2650462962962959E-2</v>
      </c>
      <c r="K6" s="19">
        <v>3685</v>
      </c>
      <c r="L6" s="20">
        <v>1.3888888888888284E-4</v>
      </c>
      <c r="M6" s="21">
        <v>12</v>
      </c>
      <c r="N6" s="21">
        <v>16.333333333333332</v>
      </c>
      <c r="O6" s="38">
        <v>13</v>
      </c>
      <c r="P6" s="38">
        <v>0</v>
      </c>
      <c r="Q6" s="42">
        <v>4</v>
      </c>
      <c r="R6" s="44">
        <v>0</v>
      </c>
      <c r="S6" s="44">
        <v>0.30769230769230771</v>
      </c>
      <c r="T6" s="40">
        <f t="shared" si="0"/>
        <v>212.33333333333331</v>
      </c>
      <c r="U6" s="22" t="s">
        <v>21</v>
      </c>
      <c r="V6" s="22" t="s">
        <v>21</v>
      </c>
      <c r="W6" s="23">
        <v>0</v>
      </c>
      <c r="X6" s="24">
        <v>1</v>
      </c>
      <c r="Y6" s="25" t="s">
        <v>22</v>
      </c>
    </row>
    <row r="7" spans="1:25" hidden="1" x14ac:dyDescent="0.3">
      <c r="A7" s="14">
        <v>44</v>
      </c>
      <c r="B7" s="14">
        <v>1</v>
      </c>
      <c r="C7" s="14" t="s">
        <v>19</v>
      </c>
      <c r="D7" s="14">
        <v>3</v>
      </c>
      <c r="E7" s="14">
        <v>4</v>
      </c>
      <c r="F7" s="15" t="s">
        <v>27</v>
      </c>
      <c r="G7" s="26">
        <v>1</v>
      </c>
      <c r="H7" s="16">
        <v>2.6620370370370372E-4</v>
      </c>
      <c r="I7" s="17">
        <v>23</v>
      </c>
      <c r="J7" s="18">
        <v>4.5138888888888892E-4</v>
      </c>
      <c r="K7" s="19">
        <v>39</v>
      </c>
      <c r="L7" s="20">
        <v>1.851851851851852E-4</v>
      </c>
      <c r="M7" s="21">
        <v>16</v>
      </c>
      <c r="N7" s="21">
        <v>8.6</v>
      </c>
      <c r="O7" s="38">
        <v>51</v>
      </c>
      <c r="P7" s="38">
        <v>16</v>
      </c>
      <c r="Q7" s="42">
        <v>11</v>
      </c>
      <c r="R7" s="44">
        <v>0.31372549019607843</v>
      </c>
      <c r="S7" s="44">
        <v>0.21568627450980393</v>
      </c>
      <c r="T7" s="40">
        <f t="shared" si="0"/>
        <v>438.59999999999997</v>
      </c>
      <c r="U7" s="22" t="s">
        <v>21</v>
      </c>
      <c r="V7" s="22" t="s">
        <v>21</v>
      </c>
      <c r="W7" s="23">
        <v>1</v>
      </c>
      <c r="X7" s="24">
        <v>0</v>
      </c>
      <c r="Y7" s="25" t="s">
        <v>22</v>
      </c>
    </row>
    <row r="8" spans="1:25" hidden="1" x14ac:dyDescent="0.3">
      <c r="A8" s="14">
        <v>44</v>
      </c>
      <c r="B8" s="14">
        <v>1</v>
      </c>
      <c r="C8" s="14" t="s">
        <v>28</v>
      </c>
      <c r="D8" s="14">
        <v>2</v>
      </c>
      <c r="E8" s="14">
        <v>1</v>
      </c>
      <c r="F8" s="15" t="s">
        <v>29</v>
      </c>
      <c r="G8" s="26">
        <v>1</v>
      </c>
      <c r="H8" s="27">
        <v>4.8379629629629632E-3</v>
      </c>
      <c r="I8" s="17">
        <v>418</v>
      </c>
      <c r="J8" s="28">
        <v>5.0000000000000001E-3</v>
      </c>
      <c r="K8" s="19">
        <v>432</v>
      </c>
      <c r="L8" s="20">
        <v>1.6203703703703692E-4</v>
      </c>
      <c r="M8" s="21">
        <v>14</v>
      </c>
      <c r="N8" s="21">
        <v>17.8</v>
      </c>
      <c r="O8" s="38">
        <v>39</v>
      </c>
      <c r="P8" s="38">
        <v>10</v>
      </c>
      <c r="Q8" s="42">
        <v>7</v>
      </c>
      <c r="R8" s="44">
        <v>0.25641025641025639</v>
      </c>
      <c r="S8" s="44">
        <v>0.17948717948717949</v>
      </c>
      <c r="T8" s="40">
        <f t="shared" si="0"/>
        <v>694.2</v>
      </c>
      <c r="U8" s="22" t="s">
        <v>21</v>
      </c>
      <c r="V8" s="22" t="s">
        <v>21</v>
      </c>
      <c r="W8" s="29">
        <v>0</v>
      </c>
      <c r="X8" s="30">
        <v>0</v>
      </c>
      <c r="Y8" s="25" t="s">
        <v>22</v>
      </c>
    </row>
    <row r="9" spans="1:25" hidden="1" x14ac:dyDescent="0.3">
      <c r="A9" s="14">
        <v>44</v>
      </c>
      <c r="B9" s="14">
        <v>1</v>
      </c>
      <c r="C9" s="14" t="s">
        <v>28</v>
      </c>
      <c r="D9" s="14">
        <v>2</v>
      </c>
      <c r="E9" s="14">
        <v>4</v>
      </c>
      <c r="F9" s="15" t="s">
        <v>30</v>
      </c>
      <c r="G9" s="26">
        <v>1</v>
      </c>
      <c r="H9" s="27">
        <v>3.5312499999999997E-2</v>
      </c>
      <c r="I9" s="17">
        <v>3051</v>
      </c>
      <c r="J9" s="28">
        <v>3.546296296296296E-2</v>
      </c>
      <c r="K9" s="19">
        <v>3064</v>
      </c>
      <c r="L9" s="20">
        <v>1.5046296296296335E-4</v>
      </c>
      <c r="M9" s="21">
        <v>13</v>
      </c>
      <c r="N9" s="21">
        <v>12.4</v>
      </c>
      <c r="O9" s="38">
        <v>12</v>
      </c>
      <c r="P9" s="38">
        <v>4</v>
      </c>
      <c r="Q9" s="42">
        <v>1</v>
      </c>
      <c r="R9" s="44">
        <v>0.33333333333333331</v>
      </c>
      <c r="S9" s="44">
        <v>8.3333333333333329E-2</v>
      </c>
      <c r="T9" s="40">
        <f t="shared" si="0"/>
        <v>148.80000000000001</v>
      </c>
      <c r="U9" s="22" t="s">
        <v>21</v>
      </c>
      <c r="V9" s="22" t="s">
        <v>21</v>
      </c>
      <c r="W9" s="29">
        <v>0</v>
      </c>
      <c r="X9" s="30">
        <v>0</v>
      </c>
      <c r="Y9" s="25" t="s">
        <v>22</v>
      </c>
    </row>
    <row r="10" spans="1:25" hidden="1" x14ac:dyDescent="0.3">
      <c r="A10" s="14">
        <v>44</v>
      </c>
      <c r="B10" s="14">
        <v>1</v>
      </c>
      <c r="C10" s="14" t="s">
        <v>28</v>
      </c>
      <c r="D10" s="14">
        <v>3</v>
      </c>
      <c r="E10" s="14">
        <v>1</v>
      </c>
      <c r="F10" s="15" t="s">
        <v>31</v>
      </c>
      <c r="G10" s="26">
        <v>1</v>
      </c>
      <c r="H10" s="27">
        <v>4.5023148148148149E-3</v>
      </c>
      <c r="I10" s="17">
        <v>389</v>
      </c>
      <c r="J10" s="28">
        <v>4.6643518518518518E-3</v>
      </c>
      <c r="K10" s="19">
        <v>403</v>
      </c>
      <c r="L10" s="20">
        <v>1.6203703703703692E-4</v>
      </c>
      <c r="M10" s="21">
        <v>14</v>
      </c>
      <c r="N10" s="21">
        <v>15.4</v>
      </c>
      <c r="O10" s="38">
        <v>60</v>
      </c>
      <c r="P10" s="38">
        <v>21</v>
      </c>
      <c r="Q10" s="42">
        <v>12</v>
      </c>
      <c r="R10" s="44">
        <v>0.35</v>
      </c>
      <c r="S10" s="44">
        <v>0.2</v>
      </c>
      <c r="T10" s="40">
        <f t="shared" si="0"/>
        <v>924</v>
      </c>
      <c r="U10" s="22" t="s">
        <v>21</v>
      </c>
      <c r="V10" s="22" t="s">
        <v>21</v>
      </c>
      <c r="W10" s="29">
        <v>0</v>
      </c>
      <c r="X10" s="30">
        <v>0</v>
      </c>
      <c r="Y10" s="25" t="s">
        <v>22</v>
      </c>
    </row>
    <row r="11" spans="1:25" hidden="1" x14ac:dyDescent="0.3">
      <c r="A11" s="14">
        <v>44</v>
      </c>
      <c r="B11" s="14">
        <v>1</v>
      </c>
      <c r="C11" s="14" t="s">
        <v>28</v>
      </c>
      <c r="D11" s="14">
        <v>3</v>
      </c>
      <c r="E11" s="14">
        <v>4</v>
      </c>
      <c r="F11" s="15" t="s">
        <v>32</v>
      </c>
      <c r="G11" s="26">
        <v>1</v>
      </c>
      <c r="H11" s="27">
        <v>1.4467592592592592E-3</v>
      </c>
      <c r="I11" s="17">
        <v>125</v>
      </c>
      <c r="J11" s="28">
        <v>1.5509259259259259E-3</v>
      </c>
      <c r="K11" s="19">
        <v>134</v>
      </c>
      <c r="L11" s="20">
        <v>1.0416666666666669E-4</v>
      </c>
      <c r="M11" s="21">
        <v>9</v>
      </c>
      <c r="N11" s="21">
        <v>11.4</v>
      </c>
      <c r="O11" s="38">
        <v>45</v>
      </c>
      <c r="P11" s="38">
        <v>21</v>
      </c>
      <c r="Q11" s="42">
        <v>10</v>
      </c>
      <c r="R11" s="44">
        <v>0.46666666666666667</v>
      </c>
      <c r="S11" s="44">
        <v>0.22222222222222221</v>
      </c>
      <c r="T11" s="40">
        <f t="shared" si="0"/>
        <v>513</v>
      </c>
      <c r="U11" s="22" t="s">
        <v>21</v>
      </c>
      <c r="V11" s="22" t="s">
        <v>21</v>
      </c>
      <c r="W11" s="29">
        <v>1</v>
      </c>
      <c r="X11" s="30">
        <v>0</v>
      </c>
      <c r="Y11" s="25" t="s">
        <v>22</v>
      </c>
    </row>
    <row r="12" spans="1:25" hidden="1" x14ac:dyDescent="0.3">
      <c r="A12" s="14">
        <v>44</v>
      </c>
      <c r="B12" s="14">
        <v>2</v>
      </c>
      <c r="C12" s="14" t="s">
        <v>33</v>
      </c>
      <c r="D12" s="14">
        <v>1</v>
      </c>
      <c r="E12" s="14">
        <v>1</v>
      </c>
      <c r="F12" s="15" t="s">
        <v>34</v>
      </c>
      <c r="G12" s="26">
        <v>1</v>
      </c>
      <c r="H12" s="27">
        <v>8.8888888888888889E-3</v>
      </c>
      <c r="I12" s="17">
        <v>768</v>
      </c>
      <c r="J12" s="28">
        <v>8.9699074074074073E-3</v>
      </c>
      <c r="K12" s="19">
        <v>775</v>
      </c>
      <c r="L12" s="20">
        <v>8.1018518518518462E-5</v>
      </c>
      <c r="M12" s="21">
        <v>7</v>
      </c>
      <c r="N12" s="21">
        <v>9.8000000000000007</v>
      </c>
      <c r="O12" s="38">
        <v>15</v>
      </c>
      <c r="P12" s="38">
        <v>10</v>
      </c>
      <c r="Q12" s="42">
        <v>11</v>
      </c>
      <c r="R12" s="44">
        <v>0.66666666666666663</v>
      </c>
      <c r="S12" s="44">
        <v>0.73333333333333328</v>
      </c>
      <c r="T12" s="40">
        <f t="shared" si="0"/>
        <v>147</v>
      </c>
      <c r="U12" s="22" t="s">
        <v>21</v>
      </c>
      <c r="V12" s="22" t="s">
        <v>21</v>
      </c>
      <c r="W12" s="29">
        <v>1</v>
      </c>
      <c r="X12" s="30">
        <v>0</v>
      </c>
      <c r="Y12" s="25" t="s">
        <v>22</v>
      </c>
    </row>
    <row r="13" spans="1:25" hidden="1" x14ac:dyDescent="0.3">
      <c r="A13" s="14">
        <v>44</v>
      </c>
      <c r="B13" s="14">
        <v>2</v>
      </c>
      <c r="C13" s="14" t="s">
        <v>33</v>
      </c>
      <c r="D13" s="14">
        <v>1</v>
      </c>
      <c r="E13" s="14">
        <v>4</v>
      </c>
      <c r="F13" s="15" t="s">
        <v>35</v>
      </c>
      <c r="G13" s="26">
        <v>1</v>
      </c>
      <c r="H13" s="27">
        <v>1.4930555555555556E-2</v>
      </c>
      <c r="I13" s="17">
        <v>1290</v>
      </c>
      <c r="J13" s="28">
        <v>1.5069444444444444E-2</v>
      </c>
      <c r="K13" s="19">
        <v>1302</v>
      </c>
      <c r="L13" s="20">
        <v>1.3888888888888805E-4</v>
      </c>
      <c r="M13" s="21">
        <v>12</v>
      </c>
      <c r="N13" s="21">
        <v>11</v>
      </c>
      <c r="O13" s="38">
        <v>15</v>
      </c>
      <c r="P13" s="38">
        <v>6</v>
      </c>
      <c r="Q13" s="42">
        <v>3</v>
      </c>
      <c r="R13" s="44">
        <v>0.4</v>
      </c>
      <c r="S13" s="44">
        <v>0.2</v>
      </c>
      <c r="T13" s="40">
        <f t="shared" si="0"/>
        <v>165</v>
      </c>
      <c r="U13" s="22" t="s">
        <v>21</v>
      </c>
      <c r="V13" s="22" t="s">
        <v>21</v>
      </c>
      <c r="W13" s="29">
        <v>1</v>
      </c>
      <c r="X13" s="30">
        <v>0</v>
      </c>
      <c r="Y13" s="25" t="s">
        <v>22</v>
      </c>
    </row>
    <row r="14" spans="1:25" hidden="1" x14ac:dyDescent="0.3">
      <c r="A14" s="14">
        <v>44</v>
      </c>
      <c r="B14" s="14">
        <v>2</v>
      </c>
      <c r="C14" s="14" t="s">
        <v>33</v>
      </c>
      <c r="D14" s="14">
        <v>2</v>
      </c>
      <c r="E14" s="14">
        <v>1</v>
      </c>
      <c r="F14" s="15" t="s">
        <v>36</v>
      </c>
      <c r="G14" s="26">
        <v>1</v>
      </c>
      <c r="H14" s="27">
        <v>1.173611111111111E-2</v>
      </c>
      <c r="I14" s="17">
        <v>1014</v>
      </c>
      <c r="J14" s="28">
        <v>1.193287037037037E-2</v>
      </c>
      <c r="K14" s="19">
        <v>1031</v>
      </c>
      <c r="L14" s="20">
        <v>1.9675925925925937E-4</v>
      </c>
      <c r="M14" s="21">
        <v>17</v>
      </c>
      <c r="N14" s="21">
        <v>13.8</v>
      </c>
      <c r="O14" s="38">
        <v>9</v>
      </c>
      <c r="P14" s="38">
        <v>6</v>
      </c>
      <c r="Q14" s="42">
        <v>1</v>
      </c>
      <c r="R14" s="44">
        <v>0.66666666666666663</v>
      </c>
      <c r="S14" s="44">
        <v>0.1111111111111111</v>
      </c>
      <c r="T14" s="40">
        <f t="shared" si="0"/>
        <v>124.2</v>
      </c>
      <c r="U14" s="22" t="s">
        <v>21</v>
      </c>
      <c r="V14" s="22" t="s">
        <v>21</v>
      </c>
      <c r="W14" s="29">
        <v>1</v>
      </c>
      <c r="X14" s="30">
        <v>1</v>
      </c>
      <c r="Y14" s="25" t="s">
        <v>22</v>
      </c>
    </row>
    <row r="15" spans="1:25" hidden="1" x14ac:dyDescent="0.3">
      <c r="A15" s="14">
        <v>44</v>
      </c>
      <c r="B15" s="14">
        <v>2</v>
      </c>
      <c r="C15" s="14" t="s">
        <v>33</v>
      </c>
      <c r="D15" s="14">
        <v>3</v>
      </c>
      <c r="E15" s="14">
        <v>1</v>
      </c>
      <c r="F15" s="15" t="s">
        <v>37</v>
      </c>
      <c r="G15" s="26">
        <v>1</v>
      </c>
      <c r="H15" s="27">
        <v>6.9444444444444441E-3</v>
      </c>
      <c r="I15" s="17">
        <v>600</v>
      </c>
      <c r="J15" s="28">
        <v>7.1064814814814819E-3</v>
      </c>
      <c r="K15" s="19">
        <v>614</v>
      </c>
      <c r="L15" s="20">
        <v>1.6203703703703779E-4</v>
      </c>
      <c r="M15" s="21">
        <v>14</v>
      </c>
      <c r="N15" s="21">
        <v>9.4</v>
      </c>
      <c r="O15" s="38">
        <v>19</v>
      </c>
      <c r="P15" s="38">
        <v>10</v>
      </c>
      <c r="Q15" s="42">
        <v>8</v>
      </c>
      <c r="R15" s="44">
        <v>0.52631578947368418</v>
      </c>
      <c r="S15" s="44">
        <v>0.42105263157894735</v>
      </c>
      <c r="T15" s="40">
        <f t="shared" si="0"/>
        <v>178.6</v>
      </c>
      <c r="U15" s="22" t="s">
        <v>21</v>
      </c>
      <c r="V15" s="22" t="s">
        <v>21</v>
      </c>
      <c r="W15" s="29">
        <v>0</v>
      </c>
      <c r="X15" s="30">
        <v>0</v>
      </c>
      <c r="Y15" s="25" t="s">
        <v>22</v>
      </c>
    </row>
    <row r="16" spans="1:25" hidden="1" x14ac:dyDescent="0.3">
      <c r="A16" s="14">
        <v>44</v>
      </c>
      <c r="B16" s="14">
        <v>2</v>
      </c>
      <c r="C16" s="14" t="s">
        <v>33</v>
      </c>
      <c r="D16" s="14">
        <v>3</v>
      </c>
      <c r="E16" s="14">
        <v>4</v>
      </c>
      <c r="F16" s="15" t="s">
        <v>38</v>
      </c>
      <c r="G16" s="26">
        <v>1</v>
      </c>
      <c r="H16" s="27">
        <v>4.7916666666666663E-3</v>
      </c>
      <c r="I16" s="17">
        <v>414</v>
      </c>
      <c r="J16" s="28">
        <v>5.0462962962962961E-3</v>
      </c>
      <c r="K16" s="19">
        <v>436</v>
      </c>
      <c r="L16" s="20">
        <v>2.5462962962962982E-4</v>
      </c>
      <c r="M16" s="21">
        <v>22</v>
      </c>
      <c r="N16" s="21">
        <v>13.6</v>
      </c>
      <c r="O16" s="38">
        <v>58</v>
      </c>
      <c r="P16" s="38">
        <v>21</v>
      </c>
      <c r="Q16" s="42">
        <v>14</v>
      </c>
      <c r="R16" s="44">
        <v>0.36206896551724138</v>
      </c>
      <c r="S16" s="44">
        <v>0.2413793103448276</v>
      </c>
      <c r="T16" s="40">
        <f t="shared" si="0"/>
        <v>788.8</v>
      </c>
      <c r="U16" s="22" t="s">
        <v>21</v>
      </c>
      <c r="V16" s="22" t="s">
        <v>21</v>
      </c>
      <c r="W16" s="29">
        <v>1</v>
      </c>
      <c r="X16" s="30">
        <v>0</v>
      </c>
      <c r="Y16" s="25" t="s">
        <v>22</v>
      </c>
    </row>
    <row r="17" spans="1:25" hidden="1" x14ac:dyDescent="0.3">
      <c r="A17" s="14">
        <v>44</v>
      </c>
      <c r="B17" s="14">
        <v>2</v>
      </c>
      <c r="C17" s="14" t="s">
        <v>39</v>
      </c>
      <c r="D17" s="14">
        <v>1</v>
      </c>
      <c r="E17" s="14">
        <v>1</v>
      </c>
      <c r="F17" s="15" t="s">
        <v>40</v>
      </c>
      <c r="G17" s="26">
        <v>1</v>
      </c>
      <c r="H17" s="27">
        <v>1.0520833333333333E-2</v>
      </c>
      <c r="I17" s="17">
        <v>909</v>
      </c>
      <c r="J17" s="28">
        <v>1.068287037037037E-2</v>
      </c>
      <c r="K17" s="19">
        <v>923</v>
      </c>
      <c r="L17" s="20">
        <v>1.6203703703703692E-4</v>
      </c>
      <c r="M17" s="21">
        <v>14</v>
      </c>
      <c r="N17" s="21">
        <v>13.4</v>
      </c>
      <c r="O17" s="38">
        <v>39</v>
      </c>
      <c r="P17" s="38">
        <v>20</v>
      </c>
      <c r="Q17" s="42">
        <v>0</v>
      </c>
      <c r="R17" s="44">
        <v>0.51282051282051277</v>
      </c>
      <c r="S17" s="44">
        <v>0</v>
      </c>
      <c r="T17" s="40">
        <f t="shared" si="0"/>
        <v>522.6</v>
      </c>
      <c r="U17" s="22" t="s">
        <v>21</v>
      </c>
      <c r="V17" s="22" t="s">
        <v>21</v>
      </c>
      <c r="W17" s="29">
        <v>1</v>
      </c>
      <c r="X17" s="30">
        <v>0</v>
      </c>
      <c r="Y17" s="25" t="s">
        <v>22</v>
      </c>
    </row>
    <row r="18" spans="1:25" hidden="1" x14ac:dyDescent="0.3">
      <c r="A18" s="14">
        <v>44</v>
      </c>
      <c r="B18" s="14">
        <v>2</v>
      </c>
      <c r="C18" s="14" t="s">
        <v>39</v>
      </c>
      <c r="D18" s="14">
        <v>1</v>
      </c>
      <c r="E18" s="14">
        <v>4</v>
      </c>
      <c r="F18" s="15" t="s">
        <v>41</v>
      </c>
      <c r="G18" s="26">
        <v>1</v>
      </c>
      <c r="H18" s="27">
        <v>2.9976851851851853E-3</v>
      </c>
      <c r="I18" s="17">
        <v>259</v>
      </c>
      <c r="J18" s="28">
        <v>3.2291666666666666E-3</v>
      </c>
      <c r="K18" s="19">
        <v>279</v>
      </c>
      <c r="L18" s="20">
        <v>2.3148148148148138E-4</v>
      </c>
      <c r="M18" s="21">
        <v>20</v>
      </c>
      <c r="N18" s="21">
        <v>13.2</v>
      </c>
      <c r="O18" s="38">
        <v>46</v>
      </c>
      <c r="P18" s="38">
        <v>22</v>
      </c>
      <c r="Q18" s="42">
        <v>15</v>
      </c>
      <c r="R18" s="44">
        <v>0.47826086956521741</v>
      </c>
      <c r="S18" s="44">
        <v>0.32608695652173914</v>
      </c>
      <c r="T18" s="40">
        <f t="shared" si="0"/>
        <v>607.19999999999993</v>
      </c>
      <c r="U18" s="22" t="s">
        <v>21</v>
      </c>
      <c r="V18" s="22" t="s">
        <v>21</v>
      </c>
      <c r="W18" s="29">
        <v>1</v>
      </c>
      <c r="X18" s="30">
        <v>0</v>
      </c>
      <c r="Y18" s="25" t="s">
        <v>22</v>
      </c>
    </row>
    <row r="19" spans="1:25" hidden="1" x14ac:dyDescent="0.3">
      <c r="A19" s="14">
        <v>44</v>
      </c>
      <c r="B19" s="14">
        <v>2</v>
      </c>
      <c r="C19" s="14" t="s">
        <v>39</v>
      </c>
      <c r="D19" s="14">
        <v>2</v>
      </c>
      <c r="E19" s="14">
        <v>1</v>
      </c>
      <c r="F19" s="15" t="s">
        <v>42</v>
      </c>
      <c r="G19" s="26">
        <v>1</v>
      </c>
      <c r="H19" s="27">
        <v>6.5740740740740742E-3</v>
      </c>
      <c r="I19" s="17">
        <v>568</v>
      </c>
      <c r="J19" s="28">
        <v>6.6550925925925927E-3</v>
      </c>
      <c r="K19" s="19">
        <v>575</v>
      </c>
      <c r="L19" s="20">
        <v>8.1018518518518462E-5</v>
      </c>
      <c r="M19" s="21">
        <v>7</v>
      </c>
      <c r="N19" s="21">
        <v>8.1999999999999993</v>
      </c>
      <c r="O19" s="38">
        <v>21</v>
      </c>
      <c r="P19" s="38">
        <v>11</v>
      </c>
      <c r="Q19" s="42">
        <v>4</v>
      </c>
      <c r="R19" s="44">
        <v>0.52380952380952384</v>
      </c>
      <c r="S19" s="44">
        <v>0.19047619047619047</v>
      </c>
      <c r="T19" s="40">
        <f t="shared" si="0"/>
        <v>172.2</v>
      </c>
      <c r="U19" s="22" t="s">
        <v>21</v>
      </c>
      <c r="V19" s="22" t="s">
        <v>21</v>
      </c>
      <c r="W19" s="29">
        <v>1</v>
      </c>
      <c r="X19" s="30">
        <v>0</v>
      </c>
      <c r="Y19" s="25" t="s">
        <v>22</v>
      </c>
    </row>
    <row r="20" spans="1:25" hidden="1" x14ac:dyDescent="0.3">
      <c r="A20" s="14">
        <v>44</v>
      </c>
      <c r="B20" s="14">
        <v>2</v>
      </c>
      <c r="C20" s="14" t="s">
        <v>39</v>
      </c>
      <c r="D20" s="14">
        <v>2</v>
      </c>
      <c r="E20" s="14">
        <v>4</v>
      </c>
      <c r="F20" s="15" t="s">
        <v>43</v>
      </c>
      <c r="G20" s="26">
        <v>1</v>
      </c>
      <c r="H20" s="27">
        <v>4.363425925925926E-3</v>
      </c>
      <c r="I20" s="17">
        <v>377</v>
      </c>
      <c r="J20" s="28">
        <v>4.43287037037037E-3</v>
      </c>
      <c r="K20" s="19">
        <v>383</v>
      </c>
      <c r="L20" s="20">
        <v>6.9444444444444024E-5</v>
      </c>
      <c r="M20" s="21">
        <v>6</v>
      </c>
      <c r="N20" s="21">
        <v>8.4</v>
      </c>
      <c r="O20" s="38">
        <v>38</v>
      </c>
      <c r="P20" s="38">
        <v>23</v>
      </c>
      <c r="Q20" s="42">
        <v>6</v>
      </c>
      <c r="R20" s="44">
        <v>0.60526315789473684</v>
      </c>
      <c r="S20" s="44">
        <v>0.15789473684210525</v>
      </c>
      <c r="T20" s="40">
        <f t="shared" si="0"/>
        <v>319.2</v>
      </c>
      <c r="U20" s="22" t="s">
        <v>21</v>
      </c>
      <c r="V20" s="22" t="s">
        <v>21</v>
      </c>
      <c r="W20" s="29">
        <v>1</v>
      </c>
      <c r="X20" s="30">
        <v>0</v>
      </c>
      <c r="Y20" s="25" t="s">
        <v>22</v>
      </c>
    </row>
    <row r="21" spans="1:25" hidden="1" x14ac:dyDescent="0.3">
      <c r="A21" s="14">
        <v>44</v>
      </c>
      <c r="B21" s="14">
        <v>2</v>
      </c>
      <c r="C21" s="14" t="s">
        <v>39</v>
      </c>
      <c r="D21" s="14">
        <v>3</v>
      </c>
      <c r="E21" s="14">
        <v>1</v>
      </c>
      <c r="F21" s="15" t="s">
        <v>44</v>
      </c>
      <c r="G21" s="26">
        <v>1</v>
      </c>
      <c r="H21" s="27">
        <v>1.3726851851851851E-2</v>
      </c>
      <c r="I21" s="17">
        <v>1186</v>
      </c>
      <c r="J21" s="28">
        <v>1.3854166666666667E-2</v>
      </c>
      <c r="K21" s="19">
        <v>1197</v>
      </c>
      <c r="L21" s="20">
        <v>1.2731481481481621E-4</v>
      </c>
      <c r="M21" s="21">
        <v>11</v>
      </c>
      <c r="N21" s="21">
        <v>10.4</v>
      </c>
      <c r="O21" s="38">
        <v>31</v>
      </c>
      <c r="P21" s="38">
        <v>4</v>
      </c>
      <c r="Q21" s="42">
        <v>6</v>
      </c>
      <c r="R21" s="44">
        <v>0.12903225806451613</v>
      </c>
      <c r="S21" s="44">
        <v>0.19354838709677419</v>
      </c>
      <c r="T21" s="40">
        <f t="shared" si="0"/>
        <v>322.40000000000003</v>
      </c>
      <c r="U21" s="22" t="s">
        <v>21</v>
      </c>
      <c r="V21" s="22" t="s">
        <v>21</v>
      </c>
      <c r="W21" s="29">
        <v>0</v>
      </c>
      <c r="X21" s="30">
        <v>1</v>
      </c>
      <c r="Y21" s="25" t="s">
        <v>22</v>
      </c>
    </row>
    <row r="22" spans="1:25" hidden="1" x14ac:dyDescent="0.3">
      <c r="A22" s="14">
        <v>44</v>
      </c>
      <c r="B22" s="14">
        <v>2</v>
      </c>
      <c r="C22" s="14" t="s">
        <v>39</v>
      </c>
      <c r="D22" s="14">
        <v>3</v>
      </c>
      <c r="E22" s="14">
        <v>4</v>
      </c>
      <c r="F22" s="15" t="s">
        <v>45</v>
      </c>
      <c r="G22" s="26">
        <v>1</v>
      </c>
      <c r="H22" s="27">
        <v>6.7361111111111111E-3</v>
      </c>
      <c r="I22" s="17">
        <v>582</v>
      </c>
      <c r="J22" s="28">
        <v>6.8055555555555551E-3</v>
      </c>
      <c r="K22" s="19">
        <v>588</v>
      </c>
      <c r="L22" s="20">
        <v>6.9444444444444024E-5</v>
      </c>
      <c r="M22" s="21">
        <v>6</v>
      </c>
      <c r="N22" s="21">
        <v>8</v>
      </c>
      <c r="O22" s="38">
        <v>14</v>
      </c>
      <c r="P22" s="38">
        <v>0</v>
      </c>
      <c r="Q22" s="42">
        <v>1</v>
      </c>
      <c r="R22" s="44">
        <v>0</v>
      </c>
      <c r="S22" s="44">
        <v>7.1428571428571425E-2</v>
      </c>
      <c r="T22" s="40">
        <f t="shared" si="0"/>
        <v>112</v>
      </c>
      <c r="U22" s="22" t="s">
        <v>21</v>
      </c>
      <c r="V22" s="22" t="s">
        <v>21</v>
      </c>
      <c r="W22" s="29">
        <v>0</v>
      </c>
      <c r="X22" s="30">
        <v>1</v>
      </c>
      <c r="Y22" s="25" t="s">
        <v>22</v>
      </c>
    </row>
    <row r="23" spans="1:25" hidden="1" x14ac:dyDescent="0.3">
      <c r="A23" s="14">
        <v>44</v>
      </c>
      <c r="B23" s="14">
        <v>3</v>
      </c>
      <c r="C23" s="14" t="s">
        <v>46</v>
      </c>
      <c r="D23" s="14">
        <v>1</v>
      </c>
      <c r="E23" s="14">
        <v>1</v>
      </c>
      <c r="F23" s="15" t="s">
        <v>47</v>
      </c>
      <c r="G23" s="26">
        <v>1</v>
      </c>
      <c r="H23" s="27">
        <v>3.7581018518518521E-2</v>
      </c>
      <c r="I23" s="17">
        <v>3247</v>
      </c>
      <c r="J23" s="28">
        <v>3.7708333333333337E-2</v>
      </c>
      <c r="K23" s="19">
        <v>3258</v>
      </c>
      <c r="L23" s="20">
        <v>1.2731481481481621E-4</v>
      </c>
      <c r="M23" s="21">
        <v>11</v>
      </c>
      <c r="N23" s="21">
        <v>10.199999999999999</v>
      </c>
      <c r="O23" s="38">
        <v>20</v>
      </c>
      <c r="P23" s="38">
        <v>5</v>
      </c>
      <c r="Q23" s="42">
        <v>2</v>
      </c>
      <c r="R23" s="44">
        <v>0.25</v>
      </c>
      <c r="S23" s="44">
        <v>0.1</v>
      </c>
      <c r="T23" s="40">
        <f t="shared" si="0"/>
        <v>204</v>
      </c>
      <c r="U23" s="22" t="s">
        <v>21</v>
      </c>
      <c r="V23" s="22" t="s">
        <v>21</v>
      </c>
      <c r="W23" s="29">
        <v>0</v>
      </c>
      <c r="X23" s="30">
        <v>0</v>
      </c>
      <c r="Y23" s="25" t="s">
        <v>22</v>
      </c>
    </row>
    <row r="24" spans="1:25" hidden="1" x14ac:dyDescent="0.3">
      <c r="A24" s="14">
        <v>44</v>
      </c>
      <c r="B24" s="14">
        <v>3</v>
      </c>
      <c r="C24" s="14" t="s">
        <v>46</v>
      </c>
      <c r="D24" s="14">
        <v>1</v>
      </c>
      <c r="E24" s="14">
        <v>4</v>
      </c>
      <c r="F24" s="15" t="s">
        <v>48</v>
      </c>
      <c r="G24" s="26">
        <v>1</v>
      </c>
      <c r="H24" s="27">
        <v>1.0995370370370371E-3</v>
      </c>
      <c r="I24" s="17">
        <v>95</v>
      </c>
      <c r="J24" s="28">
        <v>1.2731481481481483E-3</v>
      </c>
      <c r="K24" s="19">
        <v>110</v>
      </c>
      <c r="L24" s="20">
        <v>1.7361111111111114E-4</v>
      </c>
      <c r="M24" s="21">
        <v>15</v>
      </c>
      <c r="N24" s="21">
        <v>14.4</v>
      </c>
      <c r="O24" s="38">
        <v>60</v>
      </c>
      <c r="P24" s="38">
        <v>0</v>
      </c>
      <c r="Q24" s="42">
        <v>10</v>
      </c>
      <c r="R24" s="44">
        <v>0</v>
      </c>
      <c r="S24" s="44">
        <v>0.16666666666666666</v>
      </c>
      <c r="T24" s="40">
        <f t="shared" si="0"/>
        <v>864</v>
      </c>
      <c r="U24" s="22" t="s">
        <v>21</v>
      </c>
      <c r="V24" s="22" t="s">
        <v>21</v>
      </c>
      <c r="W24" s="29">
        <v>0</v>
      </c>
      <c r="X24" s="30">
        <v>0</v>
      </c>
      <c r="Y24" s="25" t="s">
        <v>22</v>
      </c>
    </row>
    <row r="25" spans="1:25" hidden="1" x14ac:dyDescent="0.3">
      <c r="A25" s="14">
        <v>44</v>
      </c>
      <c r="B25" s="14">
        <v>3</v>
      </c>
      <c r="C25" s="14" t="s">
        <v>46</v>
      </c>
      <c r="D25" s="14">
        <v>2</v>
      </c>
      <c r="E25" s="14">
        <v>1</v>
      </c>
      <c r="F25" s="15" t="s">
        <v>49</v>
      </c>
      <c r="G25" s="26">
        <v>1</v>
      </c>
      <c r="H25" s="27">
        <v>3.1817129629629633E-2</v>
      </c>
      <c r="I25" s="17">
        <v>2749</v>
      </c>
      <c r="J25" s="28">
        <v>3.1921296296296295E-2</v>
      </c>
      <c r="K25" s="19">
        <v>2758</v>
      </c>
      <c r="L25" s="20">
        <v>1.0416666666666213E-4</v>
      </c>
      <c r="M25" s="21">
        <v>9</v>
      </c>
      <c r="N25" s="21">
        <v>11.8</v>
      </c>
      <c r="O25" s="38">
        <v>36</v>
      </c>
      <c r="P25" s="38">
        <v>12</v>
      </c>
      <c r="Q25" s="42">
        <v>8</v>
      </c>
      <c r="R25" s="44">
        <v>0.33333333333333331</v>
      </c>
      <c r="S25" s="44">
        <v>0.22222222222222221</v>
      </c>
      <c r="T25" s="40">
        <f t="shared" si="0"/>
        <v>424.8</v>
      </c>
      <c r="U25" s="22" t="s">
        <v>21</v>
      </c>
      <c r="V25" s="22" t="s">
        <v>21</v>
      </c>
      <c r="W25" s="29">
        <v>1</v>
      </c>
      <c r="X25" s="30">
        <v>1</v>
      </c>
      <c r="Y25" s="25" t="s">
        <v>22</v>
      </c>
    </row>
    <row r="26" spans="1:25" hidden="1" x14ac:dyDescent="0.3">
      <c r="A26" s="14">
        <v>44</v>
      </c>
      <c r="B26" s="14">
        <v>3</v>
      </c>
      <c r="C26" s="14" t="s">
        <v>46</v>
      </c>
      <c r="D26" s="14">
        <v>2</v>
      </c>
      <c r="E26" s="14">
        <v>4</v>
      </c>
      <c r="F26" s="15" t="s">
        <v>50</v>
      </c>
      <c r="G26" s="26">
        <v>1</v>
      </c>
      <c r="H26" s="27">
        <v>1.2453703703703703E-2</v>
      </c>
      <c r="I26" s="17">
        <v>1076</v>
      </c>
      <c r="J26" s="28">
        <v>1.2604166666666666E-2</v>
      </c>
      <c r="K26" s="19">
        <v>1089</v>
      </c>
      <c r="L26" s="20">
        <v>1.5046296296296335E-4</v>
      </c>
      <c r="M26" s="21">
        <v>13</v>
      </c>
      <c r="N26" s="21">
        <v>11</v>
      </c>
      <c r="O26" s="38">
        <v>57</v>
      </c>
      <c r="P26" s="38">
        <v>20</v>
      </c>
      <c r="Q26" s="42">
        <v>11</v>
      </c>
      <c r="R26" s="44">
        <v>0.35087719298245612</v>
      </c>
      <c r="S26" s="44">
        <v>0.19298245614035087</v>
      </c>
      <c r="T26" s="40">
        <f t="shared" si="0"/>
        <v>627</v>
      </c>
      <c r="U26" s="22" t="s">
        <v>21</v>
      </c>
      <c r="V26" s="22" t="s">
        <v>21</v>
      </c>
      <c r="W26" s="29">
        <v>1</v>
      </c>
      <c r="X26" s="30">
        <v>0</v>
      </c>
      <c r="Y26" s="25" t="s">
        <v>22</v>
      </c>
    </row>
    <row r="27" spans="1:25" hidden="1" x14ac:dyDescent="0.3">
      <c r="A27" s="14">
        <v>44</v>
      </c>
      <c r="B27" s="14">
        <v>3</v>
      </c>
      <c r="C27" s="14" t="s">
        <v>46</v>
      </c>
      <c r="D27" s="14">
        <v>3</v>
      </c>
      <c r="E27" s="14">
        <v>1</v>
      </c>
      <c r="F27" s="15" t="s">
        <v>51</v>
      </c>
      <c r="G27" s="26">
        <v>1</v>
      </c>
      <c r="H27" s="27">
        <v>4.340277777777778E-3</v>
      </c>
      <c r="I27" s="17">
        <v>375</v>
      </c>
      <c r="J27" s="28">
        <v>4.4444444444444444E-3</v>
      </c>
      <c r="K27" s="19">
        <v>384</v>
      </c>
      <c r="L27" s="20">
        <v>1.0416666666666647E-4</v>
      </c>
      <c r="M27" s="21">
        <v>9</v>
      </c>
      <c r="N27" s="21">
        <v>8.1999999999999993</v>
      </c>
      <c r="O27" s="38">
        <v>54</v>
      </c>
      <c r="P27" s="38">
        <v>31</v>
      </c>
      <c r="Q27" s="42">
        <v>15</v>
      </c>
      <c r="R27" s="44">
        <v>0.57407407407407407</v>
      </c>
      <c r="S27" s="44">
        <v>0.27777777777777779</v>
      </c>
      <c r="T27" s="40">
        <f t="shared" si="0"/>
        <v>442.79999999999995</v>
      </c>
      <c r="U27" s="22" t="s">
        <v>21</v>
      </c>
      <c r="V27" s="22" t="s">
        <v>21</v>
      </c>
      <c r="W27" s="29">
        <v>1</v>
      </c>
      <c r="X27" s="30">
        <v>0</v>
      </c>
      <c r="Y27" s="25" t="s">
        <v>22</v>
      </c>
    </row>
    <row r="28" spans="1:25" hidden="1" x14ac:dyDescent="0.3">
      <c r="A28" s="14">
        <v>44</v>
      </c>
      <c r="B28" s="14">
        <v>3</v>
      </c>
      <c r="C28" s="14" t="s">
        <v>46</v>
      </c>
      <c r="D28" s="14">
        <v>3</v>
      </c>
      <c r="E28" s="14">
        <v>4</v>
      </c>
      <c r="F28" s="15" t="s">
        <v>52</v>
      </c>
      <c r="G28" s="26">
        <v>1</v>
      </c>
      <c r="H28" s="27">
        <v>2.3495370370370371E-3</v>
      </c>
      <c r="I28" s="17">
        <v>203</v>
      </c>
      <c r="J28" s="28">
        <v>2.4652777777777776E-3</v>
      </c>
      <c r="K28" s="19">
        <v>213</v>
      </c>
      <c r="L28" s="20">
        <v>1.1574074074074047E-4</v>
      </c>
      <c r="M28" s="21">
        <v>10</v>
      </c>
      <c r="N28" s="21">
        <v>11.4</v>
      </c>
      <c r="O28" s="38">
        <v>47</v>
      </c>
      <c r="P28" s="38">
        <v>17</v>
      </c>
      <c r="Q28" s="42">
        <v>10</v>
      </c>
      <c r="R28" s="44">
        <v>0.36170212765957449</v>
      </c>
      <c r="S28" s="44">
        <v>0.21276595744680851</v>
      </c>
      <c r="T28" s="40">
        <f t="shared" si="0"/>
        <v>535.80000000000007</v>
      </c>
      <c r="U28" s="22" t="s">
        <v>21</v>
      </c>
      <c r="V28" s="22" t="s">
        <v>21</v>
      </c>
      <c r="W28" s="29">
        <v>1</v>
      </c>
      <c r="X28" s="30">
        <v>0</v>
      </c>
      <c r="Y28" s="25" t="s">
        <v>22</v>
      </c>
    </row>
    <row r="29" spans="1:25" hidden="1" x14ac:dyDescent="0.3">
      <c r="A29" s="14">
        <v>44</v>
      </c>
      <c r="B29" s="14">
        <v>3</v>
      </c>
      <c r="C29" s="14" t="s">
        <v>53</v>
      </c>
      <c r="D29" s="14">
        <v>1</v>
      </c>
      <c r="E29" s="14">
        <v>4</v>
      </c>
      <c r="F29" s="15" t="s">
        <v>54</v>
      </c>
      <c r="G29" s="26">
        <v>1</v>
      </c>
      <c r="H29" s="27">
        <v>5.4398148148148144E-4</v>
      </c>
      <c r="I29" s="17">
        <v>47</v>
      </c>
      <c r="J29" s="28">
        <v>6.018518518518519E-4</v>
      </c>
      <c r="K29" s="19">
        <v>52</v>
      </c>
      <c r="L29" s="20">
        <v>5.7870370370370454E-5</v>
      </c>
      <c r="M29" s="21">
        <v>5</v>
      </c>
      <c r="N29" s="21">
        <v>11.6</v>
      </c>
      <c r="O29" s="38">
        <v>76</v>
      </c>
      <c r="P29" s="38">
        <v>28</v>
      </c>
      <c r="Q29" s="42">
        <v>15</v>
      </c>
      <c r="R29" s="44">
        <v>0.36842105263157893</v>
      </c>
      <c r="S29" s="44">
        <v>0.19736842105263158</v>
      </c>
      <c r="T29" s="40">
        <f t="shared" si="0"/>
        <v>881.6</v>
      </c>
      <c r="U29" s="22" t="s">
        <v>21</v>
      </c>
      <c r="V29" s="22" t="s">
        <v>21</v>
      </c>
      <c r="W29" s="29">
        <v>1</v>
      </c>
      <c r="X29" s="30">
        <v>0</v>
      </c>
      <c r="Y29" s="25" t="s">
        <v>22</v>
      </c>
    </row>
    <row r="30" spans="1:25" hidden="1" x14ac:dyDescent="0.3">
      <c r="A30" s="14">
        <v>44</v>
      </c>
      <c r="B30" s="14">
        <v>3</v>
      </c>
      <c r="C30" s="14" t="s">
        <v>53</v>
      </c>
      <c r="D30" s="14">
        <v>3</v>
      </c>
      <c r="E30" s="14">
        <v>1</v>
      </c>
      <c r="F30" s="15" t="s">
        <v>55</v>
      </c>
      <c r="G30" s="26">
        <v>1</v>
      </c>
      <c r="H30" s="27">
        <v>2.0706018518518519E-2</v>
      </c>
      <c r="I30" s="17">
        <v>1789</v>
      </c>
      <c r="J30" s="28">
        <v>2.0821759259259259E-2</v>
      </c>
      <c r="K30" s="19">
        <v>1799</v>
      </c>
      <c r="L30" s="20">
        <v>1.1574074074073917E-4</v>
      </c>
      <c r="M30" s="21">
        <v>10</v>
      </c>
      <c r="N30" s="21">
        <v>8.8000000000000007</v>
      </c>
      <c r="O30" s="38">
        <v>42</v>
      </c>
      <c r="P30" s="38">
        <v>24</v>
      </c>
      <c r="Q30" s="42">
        <v>11</v>
      </c>
      <c r="R30" s="44">
        <v>0.5714285714285714</v>
      </c>
      <c r="S30" s="44">
        <v>0.26190476190476192</v>
      </c>
      <c r="T30" s="40">
        <f t="shared" si="0"/>
        <v>369.6</v>
      </c>
      <c r="U30" s="22" t="s">
        <v>21</v>
      </c>
      <c r="V30" s="22" t="s">
        <v>21</v>
      </c>
      <c r="W30" s="29">
        <v>1</v>
      </c>
      <c r="X30" s="30">
        <v>1</v>
      </c>
      <c r="Y30" s="25" t="s">
        <v>22</v>
      </c>
    </row>
    <row r="31" spans="1:25" hidden="1" x14ac:dyDescent="0.3">
      <c r="A31" s="14">
        <v>44</v>
      </c>
      <c r="B31" s="14">
        <v>3</v>
      </c>
      <c r="C31" s="14" t="s">
        <v>53</v>
      </c>
      <c r="D31" s="14">
        <v>3</v>
      </c>
      <c r="E31" s="14">
        <v>4</v>
      </c>
      <c r="F31" s="15" t="s">
        <v>56</v>
      </c>
      <c r="G31" s="26">
        <v>1</v>
      </c>
      <c r="H31" s="27">
        <v>6.099537037037037E-3</v>
      </c>
      <c r="I31" s="17">
        <v>527</v>
      </c>
      <c r="J31" s="28">
        <v>6.1574074074074074E-3</v>
      </c>
      <c r="K31" s="19">
        <v>532</v>
      </c>
      <c r="L31" s="20">
        <v>5.7870370370370454E-5</v>
      </c>
      <c r="M31" s="21">
        <v>5</v>
      </c>
      <c r="N31" s="21">
        <v>8</v>
      </c>
      <c r="O31" s="38">
        <v>49</v>
      </c>
      <c r="P31" s="38">
        <v>16</v>
      </c>
      <c r="Q31" s="42">
        <v>10</v>
      </c>
      <c r="R31" s="44">
        <v>0.32653061224489793</v>
      </c>
      <c r="S31" s="44">
        <v>0.20408163265306123</v>
      </c>
      <c r="T31" s="40">
        <f t="shared" si="0"/>
        <v>392</v>
      </c>
      <c r="U31" s="22" t="s">
        <v>21</v>
      </c>
      <c r="V31" s="22" t="s">
        <v>21</v>
      </c>
      <c r="W31" s="29">
        <v>1</v>
      </c>
      <c r="X31" s="30">
        <v>0</v>
      </c>
      <c r="Y31" s="25" t="s">
        <v>22</v>
      </c>
    </row>
    <row r="32" spans="1:25" hidden="1" x14ac:dyDescent="0.3">
      <c r="A32" s="14">
        <v>44</v>
      </c>
      <c r="B32" s="14">
        <v>4</v>
      </c>
      <c r="C32" s="25" t="s">
        <v>57</v>
      </c>
      <c r="D32" s="25">
        <v>1</v>
      </c>
      <c r="E32" s="25">
        <v>1</v>
      </c>
      <c r="F32" s="25" t="s">
        <v>58</v>
      </c>
      <c r="G32" s="26">
        <v>1</v>
      </c>
      <c r="H32" s="27">
        <v>1.4247685185185184E-2</v>
      </c>
      <c r="I32" s="17">
        <v>1231</v>
      </c>
      <c r="J32" s="28">
        <v>1.4409722222222223E-2</v>
      </c>
      <c r="K32" s="19">
        <v>1245</v>
      </c>
      <c r="L32" s="31">
        <v>1.6203703703703866E-4</v>
      </c>
      <c r="M32" s="21">
        <v>14</v>
      </c>
      <c r="N32" s="21">
        <v>10</v>
      </c>
      <c r="O32" s="38">
        <v>41</v>
      </c>
      <c r="P32" s="38">
        <v>12</v>
      </c>
      <c r="Q32" s="42">
        <v>9</v>
      </c>
      <c r="R32" s="44">
        <v>0.29268292682926828</v>
      </c>
      <c r="S32" s="44">
        <v>0.21951219512195122</v>
      </c>
      <c r="T32" s="40">
        <f t="shared" si="0"/>
        <v>410</v>
      </c>
      <c r="U32" s="32" t="s">
        <v>21</v>
      </c>
      <c r="V32" s="32" t="s">
        <v>21</v>
      </c>
      <c r="W32" s="33">
        <v>1</v>
      </c>
      <c r="X32" s="34">
        <v>0</v>
      </c>
      <c r="Y32" s="25" t="s">
        <v>22</v>
      </c>
    </row>
    <row r="33" spans="1:25" hidden="1" x14ac:dyDescent="0.3">
      <c r="A33" s="14">
        <v>44</v>
      </c>
      <c r="B33" s="14">
        <v>4</v>
      </c>
      <c r="C33" s="25" t="s">
        <v>57</v>
      </c>
      <c r="D33" s="25">
        <v>1</v>
      </c>
      <c r="E33" s="25">
        <v>4</v>
      </c>
      <c r="F33" s="25" t="s">
        <v>59</v>
      </c>
      <c r="G33" s="26">
        <v>1</v>
      </c>
      <c r="H33" s="27">
        <v>5.092592592592593E-3</v>
      </c>
      <c r="I33" s="17">
        <v>440</v>
      </c>
      <c r="J33" s="28">
        <v>5.2546296296296299E-3</v>
      </c>
      <c r="K33" s="19">
        <v>454</v>
      </c>
      <c r="L33" s="31">
        <v>1.6203703703703692E-4</v>
      </c>
      <c r="M33" s="21">
        <v>14</v>
      </c>
      <c r="N33" s="21">
        <v>12.2</v>
      </c>
      <c r="O33" s="38">
        <v>48</v>
      </c>
      <c r="P33" s="38">
        <v>13</v>
      </c>
      <c r="Q33" s="42">
        <v>9</v>
      </c>
      <c r="R33" s="44">
        <v>0.27083333333333331</v>
      </c>
      <c r="S33" s="44">
        <v>0.1875</v>
      </c>
      <c r="T33" s="40">
        <f t="shared" si="0"/>
        <v>585.59999999999991</v>
      </c>
      <c r="U33" s="35" t="s">
        <v>21</v>
      </c>
      <c r="V33" s="35" t="s">
        <v>21</v>
      </c>
      <c r="W33" s="33">
        <v>0</v>
      </c>
      <c r="X33" s="34">
        <v>0</v>
      </c>
      <c r="Y33" s="25" t="s">
        <v>22</v>
      </c>
    </row>
    <row r="34" spans="1:25" hidden="1" x14ac:dyDescent="0.3">
      <c r="A34" s="14">
        <v>44</v>
      </c>
      <c r="B34" s="14">
        <v>4</v>
      </c>
      <c r="C34" s="25" t="s">
        <v>57</v>
      </c>
      <c r="D34" s="25">
        <v>2</v>
      </c>
      <c r="E34" s="25">
        <v>1</v>
      </c>
      <c r="F34" s="36" t="s">
        <v>60</v>
      </c>
      <c r="G34" s="26">
        <v>1</v>
      </c>
      <c r="H34" s="27">
        <v>1.4386574074074074E-2</v>
      </c>
      <c r="I34" s="17">
        <v>1243</v>
      </c>
      <c r="J34" s="28">
        <v>1.4560185185185185E-2</v>
      </c>
      <c r="K34" s="19">
        <v>1258</v>
      </c>
      <c r="L34" s="31">
        <v>1.7361111111111049E-4</v>
      </c>
      <c r="M34" s="21">
        <v>15</v>
      </c>
      <c r="N34" s="21">
        <v>15</v>
      </c>
      <c r="O34" s="38">
        <v>29</v>
      </c>
      <c r="P34" s="38">
        <v>6</v>
      </c>
      <c r="Q34" s="42">
        <v>5</v>
      </c>
      <c r="R34" s="44">
        <v>0.20689655172413793</v>
      </c>
      <c r="S34" s="44">
        <v>0.17241379310344829</v>
      </c>
      <c r="T34" s="40">
        <f t="shared" ref="T34:T65" si="1">O34*N34</f>
        <v>435</v>
      </c>
      <c r="U34" s="35" t="s">
        <v>21</v>
      </c>
      <c r="V34" s="35" t="s">
        <v>21</v>
      </c>
      <c r="W34" s="33">
        <v>0</v>
      </c>
      <c r="X34" s="34">
        <v>0</v>
      </c>
      <c r="Y34" s="25" t="s">
        <v>22</v>
      </c>
    </row>
    <row r="35" spans="1:25" hidden="1" x14ac:dyDescent="0.3">
      <c r="A35" s="14">
        <v>44</v>
      </c>
      <c r="B35" s="14">
        <v>4</v>
      </c>
      <c r="C35" s="25" t="s">
        <v>57</v>
      </c>
      <c r="D35" s="25">
        <v>2</v>
      </c>
      <c r="E35" s="25">
        <v>4</v>
      </c>
      <c r="F35" s="25" t="s">
        <v>61</v>
      </c>
      <c r="G35" s="26">
        <v>1</v>
      </c>
      <c r="H35" s="27">
        <v>1.0810185185185185E-2</v>
      </c>
      <c r="I35" s="17">
        <v>934</v>
      </c>
      <c r="J35" s="28">
        <v>1.0960648148148148E-2</v>
      </c>
      <c r="K35" s="19">
        <v>947</v>
      </c>
      <c r="L35" s="31">
        <v>1.5046296296296335E-4</v>
      </c>
      <c r="M35" s="21">
        <v>13</v>
      </c>
      <c r="N35" s="21">
        <v>9.1999999999999993</v>
      </c>
      <c r="O35" s="38">
        <v>27</v>
      </c>
      <c r="P35" s="38">
        <v>2</v>
      </c>
      <c r="Q35" s="42">
        <v>5</v>
      </c>
      <c r="R35" s="44">
        <v>7.407407407407407E-2</v>
      </c>
      <c r="S35" s="44">
        <v>0.18518518518518517</v>
      </c>
      <c r="T35" s="40">
        <f t="shared" si="1"/>
        <v>248.39999999999998</v>
      </c>
      <c r="U35" s="35" t="s">
        <v>21</v>
      </c>
      <c r="V35" s="35" t="s">
        <v>21</v>
      </c>
      <c r="W35" s="33">
        <v>0</v>
      </c>
      <c r="X35" s="34">
        <v>0</v>
      </c>
      <c r="Y35" s="25" t="s">
        <v>22</v>
      </c>
    </row>
    <row r="36" spans="1:25" hidden="1" x14ac:dyDescent="0.3">
      <c r="A36" s="14">
        <v>44</v>
      </c>
      <c r="B36" s="14">
        <v>4</v>
      </c>
      <c r="C36" s="25" t="s">
        <v>57</v>
      </c>
      <c r="D36" s="25">
        <v>3</v>
      </c>
      <c r="E36" s="25">
        <v>1</v>
      </c>
      <c r="F36" s="25" t="s">
        <v>62</v>
      </c>
      <c r="G36" s="26">
        <v>1</v>
      </c>
      <c r="H36" s="27">
        <v>9.1203703703703707E-3</v>
      </c>
      <c r="I36" s="17">
        <v>788</v>
      </c>
      <c r="J36" s="28">
        <v>9.2129629629629627E-3</v>
      </c>
      <c r="K36" s="19">
        <v>796</v>
      </c>
      <c r="L36" s="31">
        <v>9.2592592592592032E-5</v>
      </c>
      <c r="M36" s="21">
        <v>8</v>
      </c>
      <c r="N36" s="21">
        <v>11.4</v>
      </c>
      <c r="O36" s="38">
        <v>11</v>
      </c>
      <c r="P36" s="38">
        <v>3</v>
      </c>
      <c r="Q36" s="42">
        <v>3</v>
      </c>
      <c r="R36" s="44">
        <v>0.27272727272727271</v>
      </c>
      <c r="S36" s="44">
        <v>0.27272727272727271</v>
      </c>
      <c r="T36" s="40">
        <f t="shared" si="1"/>
        <v>125.4</v>
      </c>
      <c r="U36" s="37" t="s">
        <v>21</v>
      </c>
      <c r="V36" s="37" t="s">
        <v>21</v>
      </c>
      <c r="W36" s="33">
        <v>0</v>
      </c>
      <c r="X36" s="34">
        <v>0</v>
      </c>
      <c r="Y36" s="25" t="s">
        <v>22</v>
      </c>
    </row>
    <row r="37" spans="1:25" hidden="1" x14ac:dyDescent="0.3">
      <c r="A37" s="14">
        <v>44</v>
      </c>
      <c r="B37" s="14">
        <v>4</v>
      </c>
      <c r="C37" s="25" t="s">
        <v>64</v>
      </c>
      <c r="D37" s="25">
        <v>1</v>
      </c>
      <c r="E37" s="25">
        <v>1</v>
      </c>
      <c r="F37" s="25" t="s">
        <v>65</v>
      </c>
      <c r="G37" s="26">
        <v>1</v>
      </c>
      <c r="H37" s="27">
        <v>3.5300925925925925E-3</v>
      </c>
      <c r="I37" s="17">
        <v>305</v>
      </c>
      <c r="J37" s="28">
        <v>3.6921296296296298E-3</v>
      </c>
      <c r="K37" s="19">
        <v>319</v>
      </c>
      <c r="L37" s="31">
        <v>1.6203703703703736E-4</v>
      </c>
      <c r="M37" s="21">
        <v>14</v>
      </c>
      <c r="N37" s="21">
        <v>9.4</v>
      </c>
      <c r="O37" s="38">
        <v>39</v>
      </c>
      <c r="P37" s="38">
        <v>27</v>
      </c>
      <c r="Q37" s="42">
        <v>17</v>
      </c>
      <c r="R37" s="44">
        <v>0.69230769230769229</v>
      </c>
      <c r="S37" s="44">
        <v>0.4358974358974359</v>
      </c>
      <c r="T37" s="40">
        <f t="shared" si="1"/>
        <v>366.6</v>
      </c>
      <c r="U37" s="32" t="s">
        <v>21</v>
      </c>
      <c r="V37" s="32" t="s">
        <v>21</v>
      </c>
      <c r="W37" s="33">
        <v>1</v>
      </c>
      <c r="X37" s="34">
        <v>0</v>
      </c>
      <c r="Y37" s="25" t="s">
        <v>22</v>
      </c>
    </row>
    <row r="38" spans="1:25" hidden="1" x14ac:dyDescent="0.3">
      <c r="A38" s="14">
        <v>44</v>
      </c>
      <c r="B38" s="14">
        <v>4</v>
      </c>
      <c r="C38" s="25" t="s">
        <v>64</v>
      </c>
      <c r="D38" s="25">
        <v>1</v>
      </c>
      <c r="E38" s="25">
        <v>4</v>
      </c>
      <c r="F38" s="25" t="s">
        <v>66</v>
      </c>
      <c r="G38" s="26">
        <v>1</v>
      </c>
      <c r="H38" s="27">
        <v>8.9351851851851849E-3</v>
      </c>
      <c r="I38" s="17">
        <v>772</v>
      </c>
      <c r="J38" s="28">
        <v>9.0740740740740747E-3</v>
      </c>
      <c r="K38" s="19">
        <v>784</v>
      </c>
      <c r="L38" s="31">
        <v>1.3888888888888978E-4</v>
      </c>
      <c r="M38" s="21">
        <v>12</v>
      </c>
      <c r="N38" s="21">
        <v>10.199999999999999</v>
      </c>
      <c r="O38" s="38">
        <v>48</v>
      </c>
      <c r="P38" s="38">
        <v>20</v>
      </c>
      <c r="Q38" s="42">
        <v>17</v>
      </c>
      <c r="R38" s="44">
        <v>0.41666666666666669</v>
      </c>
      <c r="S38" s="44">
        <v>0.35416666666666669</v>
      </c>
      <c r="T38" s="40">
        <f t="shared" si="1"/>
        <v>489.59999999999997</v>
      </c>
      <c r="U38" s="35" t="s">
        <v>21</v>
      </c>
      <c r="V38" s="35" t="s">
        <v>21</v>
      </c>
      <c r="W38" s="33">
        <v>1</v>
      </c>
      <c r="X38" s="34">
        <v>0</v>
      </c>
      <c r="Y38" s="25" t="s">
        <v>22</v>
      </c>
    </row>
    <row r="39" spans="1:25" hidden="1" x14ac:dyDescent="0.3">
      <c r="A39" s="14">
        <v>44</v>
      </c>
      <c r="B39" s="14">
        <v>4</v>
      </c>
      <c r="C39" s="25" t="s">
        <v>64</v>
      </c>
      <c r="D39" s="25">
        <v>2</v>
      </c>
      <c r="E39" s="25">
        <v>4</v>
      </c>
      <c r="F39" s="25" t="s">
        <v>67</v>
      </c>
      <c r="G39" s="26">
        <v>1</v>
      </c>
      <c r="H39" s="27">
        <v>4.9074074074074072E-3</v>
      </c>
      <c r="I39" s="17">
        <v>424</v>
      </c>
      <c r="J39" s="28">
        <v>5.1504629629629626E-3</v>
      </c>
      <c r="K39" s="19">
        <v>445</v>
      </c>
      <c r="L39" s="31">
        <v>2.4305555555555539E-4</v>
      </c>
      <c r="M39" s="21">
        <v>21</v>
      </c>
      <c r="N39" s="21">
        <v>12</v>
      </c>
      <c r="O39" s="38">
        <v>50</v>
      </c>
      <c r="P39" s="38">
        <v>16</v>
      </c>
      <c r="Q39" s="42">
        <v>12</v>
      </c>
      <c r="R39" s="44">
        <v>0.32</v>
      </c>
      <c r="S39" s="44">
        <v>0.24</v>
      </c>
      <c r="T39" s="40">
        <f t="shared" si="1"/>
        <v>600</v>
      </c>
      <c r="U39" s="35" t="s">
        <v>21</v>
      </c>
      <c r="V39" s="35" t="s">
        <v>21</v>
      </c>
      <c r="W39" s="33">
        <v>0</v>
      </c>
      <c r="X39" s="34">
        <v>0</v>
      </c>
      <c r="Y39" s="25" t="s">
        <v>22</v>
      </c>
    </row>
    <row r="40" spans="1:25" hidden="1" x14ac:dyDescent="0.3">
      <c r="A40" s="14">
        <v>44</v>
      </c>
      <c r="B40" s="14">
        <v>4</v>
      </c>
      <c r="C40" s="25" t="s">
        <v>64</v>
      </c>
      <c r="D40" s="25">
        <v>3</v>
      </c>
      <c r="E40" s="25">
        <v>1</v>
      </c>
      <c r="F40" s="25" t="s">
        <v>62</v>
      </c>
      <c r="G40" s="26">
        <v>1</v>
      </c>
      <c r="H40" s="27">
        <v>1.0416666666666667E-4</v>
      </c>
      <c r="I40" s="17">
        <v>9</v>
      </c>
      <c r="J40" s="28">
        <v>2.3148148148148149E-4</v>
      </c>
      <c r="K40" s="19">
        <v>20</v>
      </c>
      <c r="L40" s="31">
        <v>1.273148148148148E-4</v>
      </c>
      <c r="M40" s="21">
        <v>11</v>
      </c>
      <c r="N40" s="21">
        <v>11</v>
      </c>
      <c r="O40" s="38">
        <v>62</v>
      </c>
      <c r="P40" s="38">
        <v>24</v>
      </c>
      <c r="Q40" s="42">
        <v>13</v>
      </c>
      <c r="R40" s="44">
        <v>0.38709677419354838</v>
      </c>
      <c r="S40" s="44">
        <v>0.20967741935483872</v>
      </c>
      <c r="T40" s="40">
        <f t="shared" si="1"/>
        <v>682</v>
      </c>
      <c r="U40" s="35" t="s">
        <v>21</v>
      </c>
      <c r="V40" s="35" t="s">
        <v>21</v>
      </c>
      <c r="W40" s="33">
        <v>0</v>
      </c>
      <c r="X40" s="34">
        <v>0</v>
      </c>
      <c r="Y40" s="25" t="s">
        <v>22</v>
      </c>
    </row>
    <row r="41" spans="1:25" hidden="1" x14ac:dyDescent="0.3">
      <c r="A41" s="14">
        <v>44</v>
      </c>
      <c r="B41" s="14">
        <v>4</v>
      </c>
      <c r="C41" s="25" t="s">
        <v>64</v>
      </c>
      <c r="D41" s="25">
        <v>3</v>
      </c>
      <c r="E41" s="25">
        <v>4</v>
      </c>
      <c r="F41" s="25" t="s">
        <v>63</v>
      </c>
      <c r="G41" s="26">
        <v>1</v>
      </c>
      <c r="H41" s="27">
        <v>2.4074074074074074E-2</v>
      </c>
      <c r="I41" s="17">
        <v>2080</v>
      </c>
      <c r="J41" s="28">
        <v>2.417824074074074E-2</v>
      </c>
      <c r="K41" s="19">
        <v>2089</v>
      </c>
      <c r="L41" s="31">
        <v>1.041666666666656E-4</v>
      </c>
      <c r="M41" s="21">
        <v>9</v>
      </c>
      <c r="N41" s="21">
        <v>7.8</v>
      </c>
      <c r="O41" s="38">
        <v>45</v>
      </c>
      <c r="P41" s="38">
        <v>4</v>
      </c>
      <c r="Q41" s="42">
        <v>7</v>
      </c>
      <c r="R41" s="44">
        <v>8.8888888888888892E-2</v>
      </c>
      <c r="S41" s="44">
        <v>0.15555555555555556</v>
      </c>
      <c r="T41" s="40">
        <f t="shared" si="1"/>
        <v>351</v>
      </c>
      <c r="U41" s="35" t="s">
        <v>21</v>
      </c>
      <c r="V41" s="35" t="s">
        <v>21</v>
      </c>
      <c r="W41" s="33">
        <v>0</v>
      </c>
      <c r="X41" s="34">
        <v>1</v>
      </c>
      <c r="Y41" s="25" t="s">
        <v>22</v>
      </c>
    </row>
    <row r="42" spans="1:25" x14ac:dyDescent="0.3">
      <c r="A42" s="14">
        <v>44</v>
      </c>
      <c r="B42" s="14">
        <v>1</v>
      </c>
      <c r="C42" s="14" t="s">
        <v>19</v>
      </c>
      <c r="D42" s="14">
        <v>1</v>
      </c>
      <c r="E42" s="14">
        <v>2</v>
      </c>
      <c r="F42" s="15" t="s">
        <v>68</v>
      </c>
      <c r="G42" s="26">
        <v>1</v>
      </c>
      <c r="H42" s="16">
        <v>1.0486111111111111E-2</v>
      </c>
      <c r="I42" s="17">
        <v>906</v>
      </c>
      <c r="J42" s="18">
        <v>1.0636574074074074E-2</v>
      </c>
      <c r="K42" s="19">
        <v>919</v>
      </c>
      <c r="L42" s="20">
        <v>1.5046296296296335E-4</v>
      </c>
      <c r="M42" s="21">
        <v>13</v>
      </c>
      <c r="N42" s="21">
        <v>11.6</v>
      </c>
      <c r="O42" s="38">
        <v>48</v>
      </c>
      <c r="P42" s="38">
        <v>22</v>
      </c>
      <c r="Q42" s="42">
        <v>10</v>
      </c>
      <c r="R42" s="44">
        <v>0.45833333333333331</v>
      </c>
      <c r="S42" s="44">
        <v>0.20833333333333334</v>
      </c>
      <c r="T42" s="40">
        <f t="shared" si="1"/>
        <v>556.79999999999995</v>
      </c>
      <c r="U42" s="22" t="s">
        <v>21</v>
      </c>
      <c r="V42" s="22" t="s">
        <v>21</v>
      </c>
      <c r="W42" s="23">
        <v>1</v>
      </c>
      <c r="X42" s="24">
        <v>0</v>
      </c>
      <c r="Y42" s="25" t="s">
        <v>69</v>
      </c>
    </row>
    <row r="43" spans="1:25" x14ac:dyDescent="0.3">
      <c r="A43" s="14">
        <v>44</v>
      </c>
      <c r="B43" s="14">
        <v>1</v>
      </c>
      <c r="C43" s="14" t="s">
        <v>19</v>
      </c>
      <c r="D43" s="14">
        <v>1</v>
      </c>
      <c r="E43" s="14">
        <v>5</v>
      </c>
      <c r="F43" s="15" t="s">
        <v>70</v>
      </c>
      <c r="G43" s="26">
        <v>1</v>
      </c>
      <c r="H43" s="16">
        <v>4.3518518518518515E-3</v>
      </c>
      <c r="I43" s="17">
        <v>376</v>
      </c>
      <c r="J43" s="18">
        <v>4.5717592592592589E-3</v>
      </c>
      <c r="K43" s="19">
        <v>395</v>
      </c>
      <c r="L43" s="20">
        <v>2.1990740740740738E-4</v>
      </c>
      <c r="M43" s="21">
        <v>19</v>
      </c>
      <c r="N43" s="21">
        <v>13.6</v>
      </c>
      <c r="O43" s="38">
        <v>64</v>
      </c>
      <c r="P43" s="38">
        <v>10</v>
      </c>
      <c r="Q43" s="42">
        <v>1</v>
      </c>
      <c r="R43" s="44">
        <v>0.15625</v>
      </c>
      <c r="S43" s="44">
        <v>1.5625E-2</v>
      </c>
      <c r="T43" s="40">
        <f t="shared" si="1"/>
        <v>870.4</v>
      </c>
      <c r="U43" s="22" t="s">
        <v>21</v>
      </c>
      <c r="V43" s="22" t="s">
        <v>21</v>
      </c>
      <c r="W43" s="23">
        <v>0</v>
      </c>
      <c r="X43" s="24">
        <v>0</v>
      </c>
      <c r="Y43" s="25" t="s">
        <v>69</v>
      </c>
    </row>
    <row r="44" spans="1:25" x14ac:dyDescent="0.3">
      <c r="A44" s="14">
        <v>44</v>
      </c>
      <c r="B44" s="14">
        <v>1</v>
      </c>
      <c r="C44" s="14" t="s">
        <v>19</v>
      </c>
      <c r="D44" s="14">
        <v>2</v>
      </c>
      <c r="E44" s="14">
        <v>2</v>
      </c>
      <c r="F44" s="15" t="s">
        <v>71</v>
      </c>
      <c r="G44" s="26">
        <v>1</v>
      </c>
      <c r="H44" s="16">
        <v>7.0717592592592594E-3</v>
      </c>
      <c r="I44" s="17">
        <v>611</v>
      </c>
      <c r="J44" s="18">
        <v>7.1874999999999994E-3</v>
      </c>
      <c r="K44" s="19">
        <v>621</v>
      </c>
      <c r="L44" s="20">
        <v>1.1574074074074004E-4</v>
      </c>
      <c r="M44" s="21">
        <v>10</v>
      </c>
      <c r="N44" s="21">
        <v>12.6</v>
      </c>
      <c r="O44" s="38">
        <v>50</v>
      </c>
      <c r="P44" s="38">
        <v>17</v>
      </c>
      <c r="Q44" s="42">
        <v>8</v>
      </c>
      <c r="R44" s="44">
        <v>0.34</v>
      </c>
      <c r="S44" s="44">
        <v>0.16</v>
      </c>
      <c r="T44" s="40">
        <f t="shared" si="1"/>
        <v>630</v>
      </c>
      <c r="U44" s="22" t="s">
        <v>21</v>
      </c>
      <c r="V44" s="22" t="s">
        <v>21</v>
      </c>
      <c r="W44" s="23">
        <v>1</v>
      </c>
      <c r="X44" s="24">
        <v>1</v>
      </c>
      <c r="Y44" s="25" t="s">
        <v>69</v>
      </c>
    </row>
    <row r="45" spans="1:25" x14ac:dyDescent="0.3">
      <c r="A45" s="14">
        <v>44</v>
      </c>
      <c r="B45" s="14">
        <v>1</v>
      </c>
      <c r="C45" s="14" t="s">
        <v>19</v>
      </c>
      <c r="D45" s="14">
        <v>2</v>
      </c>
      <c r="E45" s="14">
        <v>5</v>
      </c>
      <c r="F45" s="15" t="s">
        <v>72</v>
      </c>
      <c r="G45" s="26">
        <v>1</v>
      </c>
      <c r="H45" s="16">
        <v>6.4814814814814813E-3</v>
      </c>
      <c r="I45" s="17">
        <v>560</v>
      </c>
      <c r="J45" s="18">
        <v>6.6550925925925935E-3</v>
      </c>
      <c r="K45" s="19">
        <v>575</v>
      </c>
      <c r="L45" s="20">
        <v>1.7361111111111223E-4</v>
      </c>
      <c r="M45" s="21">
        <v>15</v>
      </c>
      <c r="N45" s="21">
        <v>15.6</v>
      </c>
      <c r="O45" s="38">
        <v>64</v>
      </c>
      <c r="P45" s="38">
        <v>29</v>
      </c>
      <c r="Q45" s="42">
        <v>14</v>
      </c>
      <c r="R45" s="44">
        <v>0.453125</v>
      </c>
      <c r="S45" s="44">
        <v>0.21875</v>
      </c>
      <c r="T45" s="40">
        <f t="shared" si="1"/>
        <v>998.4</v>
      </c>
      <c r="U45" s="22" t="s">
        <v>21</v>
      </c>
      <c r="V45" s="22" t="s">
        <v>21</v>
      </c>
      <c r="W45" s="23">
        <v>0</v>
      </c>
      <c r="X45" s="24">
        <v>0</v>
      </c>
      <c r="Y45" s="25" t="s">
        <v>69</v>
      </c>
    </row>
    <row r="46" spans="1:25" x14ac:dyDescent="0.3">
      <c r="A46" s="14">
        <v>44</v>
      </c>
      <c r="B46" s="14">
        <v>1</v>
      </c>
      <c r="C46" s="14" t="s">
        <v>28</v>
      </c>
      <c r="D46" s="14">
        <v>1</v>
      </c>
      <c r="E46" s="14">
        <v>2</v>
      </c>
      <c r="F46" s="15" t="s">
        <v>73</v>
      </c>
      <c r="G46" s="26">
        <v>1</v>
      </c>
      <c r="H46" s="27">
        <v>7.9745370370370369E-3</v>
      </c>
      <c r="I46" s="17">
        <v>689</v>
      </c>
      <c r="J46" s="28">
        <v>8.1134259259259267E-3</v>
      </c>
      <c r="K46" s="19">
        <v>701</v>
      </c>
      <c r="L46" s="20">
        <v>1.3888888888888978E-4</v>
      </c>
      <c r="M46" s="21">
        <v>12</v>
      </c>
      <c r="N46" s="21">
        <v>11.2</v>
      </c>
      <c r="O46" s="38">
        <v>39</v>
      </c>
      <c r="P46" s="38">
        <v>16</v>
      </c>
      <c r="Q46" s="42">
        <v>14</v>
      </c>
      <c r="R46" s="44">
        <v>0.41025641025641024</v>
      </c>
      <c r="S46" s="44">
        <v>0.35897435897435898</v>
      </c>
      <c r="T46" s="40">
        <f t="shared" si="1"/>
        <v>436.79999999999995</v>
      </c>
      <c r="U46" s="22" t="s">
        <v>21</v>
      </c>
      <c r="V46" s="22" t="s">
        <v>21</v>
      </c>
      <c r="W46" s="29">
        <v>1</v>
      </c>
      <c r="X46" s="30">
        <v>0</v>
      </c>
      <c r="Y46" s="25" t="s">
        <v>69</v>
      </c>
    </row>
    <row r="47" spans="1:25" x14ac:dyDescent="0.3">
      <c r="A47" s="14">
        <v>44</v>
      </c>
      <c r="B47" s="14">
        <v>1</v>
      </c>
      <c r="C47" s="14" t="s">
        <v>28</v>
      </c>
      <c r="D47" s="14">
        <v>1</v>
      </c>
      <c r="E47" s="14">
        <v>5</v>
      </c>
      <c r="F47" s="15" t="s">
        <v>74</v>
      </c>
      <c r="G47" s="26">
        <v>1</v>
      </c>
      <c r="H47" s="27">
        <v>2.6041666666666665E-3</v>
      </c>
      <c r="I47" s="17">
        <v>225</v>
      </c>
      <c r="J47" s="28">
        <v>2.8935185185185184E-3</v>
      </c>
      <c r="K47" s="19">
        <v>250</v>
      </c>
      <c r="L47" s="20">
        <v>2.8935185185185184E-4</v>
      </c>
      <c r="M47" s="21">
        <v>25</v>
      </c>
      <c r="N47" s="21">
        <v>16.399999999999999</v>
      </c>
      <c r="O47" s="39">
        <v>43</v>
      </c>
      <c r="P47" s="39">
        <v>19</v>
      </c>
      <c r="Q47" s="43">
        <v>16</v>
      </c>
      <c r="R47" s="46">
        <v>0.44186046511627908</v>
      </c>
      <c r="S47" s="46">
        <v>0.37209302325581395</v>
      </c>
      <c r="T47" s="40">
        <f t="shared" si="1"/>
        <v>705.19999999999993</v>
      </c>
      <c r="U47" s="22" t="s">
        <v>21</v>
      </c>
      <c r="V47" s="22" t="s">
        <v>21</v>
      </c>
      <c r="W47" s="29">
        <v>0</v>
      </c>
      <c r="X47" s="30">
        <v>0</v>
      </c>
      <c r="Y47" s="25" t="s">
        <v>69</v>
      </c>
    </row>
    <row r="48" spans="1:25" x14ac:dyDescent="0.3">
      <c r="A48" s="14">
        <v>44</v>
      </c>
      <c r="B48" s="14">
        <v>1</v>
      </c>
      <c r="C48" s="14" t="s">
        <v>28</v>
      </c>
      <c r="D48" s="14">
        <v>2</v>
      </c>
      <c r="E48" s="14">
        <v>2</v>
      </c>
      <c r="F48" s="15" t="s">
        <v>75</v>
      </c>
      <c r="G48" s="26">
        <v>1</v>
      </c>
      <c r="H48" s="27">
        <v>6.7824074074074071E-3</v>
      </c>
      <c r="I48" s="17">
        <v>586</v>
      </c>
      <c r="J48" s="28">
        <v>6.9212962962962961E-3</v>
      </c>
      <c r="K48" s="19">
        <v>598</v>
      </c>
      <c r="L48" s="20">
        <v>1.3888888888888892E-4</v>
      </c>
      <c r="M48" s="21">
        <v>12</v>
      </c>
      <c r="N48" s="21">
        <v>12.6</v>
      </c>
      <c r="O48" s="38">
        <v>41</v>
      </c>
      <c r="P48" s="38">
        <v>19</v>
      </c>
      <c r="Q48" s="42">
        <v>12</v>
      </c>
      <c r="R48" s="44">
        <v>0.46341463414634149</v>
      </c>
      <c r="S48" s="44">
        <v>0.29268292682926828</v>
      </c>
      <c r="T48" s="40">
        <f t="shared" si="1"/>
        <v>516.6</v>
      </c>
      <c r="U48" s="22" t="s">
        <v>21</v>
      </c>
      <c r="V48" s="22" t="s">
        <v>21</v>
      </c>
      <c r="W48" s="29">
        <v>0</v>
      </c>
      <c r="X48" s="30">
        <v>0</v>
      </c>
      <c r="Y48" s="25" t="s">
        <v>69</v>
      </c>
    </row>
    <row r="49" spans="1:25" x14ac:dyDescent="0.3">
      <c r="A49" s="14">
        <v>44</v>
      </c>
      <c r="B49" s="14">
        <v>1</v>
      </c>
      <c r="C49" s="14" t="s">
        <v>28</v>
      </c>
      <c r="D49" s="14">
        <v>2</v>
      </c>
      <c r="E49" s="14">
        <v>5</v>
      </c>
      <c r="F49" s="15" t="s">
        <v>76</v>
      </c>
      <c r="G49" s="26">
        <v>1</v>
      </c>
      <c r="H49" s="27">
        <v>8.6342592592592599E-3</v>
      </c>
      <c r="I49" s="17">
        <v>746</v>
      </c>
      <c r="J49" s="28">
        <v>8.7847222222222215E-3</v>
      </c>
      <c r="K49" s="19">
        <v>759</v>
      </c>
      <c r="L49" s="20">
        <v>1.5046296296296162E-4</v>
      </c>
      <c r="M49" s="21">
        <v>13</v>
      </c>
      <c r="N49" s="21">
        <v>12.4</v>
      </c>
      <c r="O49" s="38">
        <v>45</v>
      </c>
      <c r="P49" s="38">
        <v>13</v>
      </c>
      <c r="Q49" s="42">
        <v>13</v>
      </c>
      <c r="R49" s="44">
        <v>0.28888888888888886</v>
      </c>
      <c r="S49" s="44">
        <v>0.28888888888888886</v>
      </c>
      <c r="T49" s="40">
        <f t="shared" si="1"/>
        <v>558</v>
      </c>
      <c r="U49" s="22" t="s">
        <v>21</v>
      </c>
      <c r="V49" s="22" t="s">
        <v>21</v>
      </c>
      <c r="W49" s="29">
        <v>0</v>
      </c>
      <c r="X49" s="30">
        <v>0</v>
      </c>
      <c r="Y49" s="25" t="s">
        <v>69</v>
      </c>
    </row>
    <row r="50" spans="1:25" x14ac:dyDescent="0.3">
      <c r="A50" s="14">
        <v>44</v>
      </c>
      <c r="B50" s="14">
        <v>1</v>
      </c>
      <c r="C50" s="14" t="s">
        <v>28</v>
      </c>
      <c r="D50" s="14">
        <v>3</v>
      </c>
      <c r="E50" s="14">
        <v>5</v>
      </c>
      <c r="F50" s="15" t="s">
        <v>77</v>
      </c>
      <c r="G50" s="26">
        <v>1</v>
      </c>
      <c r="H50" s="27">
        <v>1.8553240740740742E-2</v>
      </c>
      <c r="I50" s="17">
        <v>1603</v>
      </c>
      <c r="J50" s="28">
        <v>1.8761574074074073E-2</v>
      </c>
      <c r="K50" s="19">
        <v>1621</v>
      </c>
      <c r="L50" s="20">
        <v>2.0833333333333121E-4</v>
      </c>
      <c r="M50" s="21">
        <v>18</v>
      </c>
      <c r="N50" s="21">
        <v>14.2</v>
      </c>
      <c r="O50" s="38">
        <v>32</v>
      </c>
      <c r="P50" s="38">
        <v>17</v>
      </c>
      <c r="Q50" s="42">
        <v>3</v>
      </c>
      <c r="R50" s="44">
        <v>0.53125</v>
      </c>
      <c r="S50" s="44">
        <v>9.375E-2</v>
      </c>
      <c r="T50" s="40">
        <f t="shared" si="1"/>
        <v>454.4</v>
      </c>
      <c r="U50" s="22" t="s">
        <v>21</v>
      </c>
      <c r="V50" s="22" t="s">
        <v>21</v>
      </c>
      <c r="W50" s="29">
        <v>0</v>
      </c>
      <c r="X50" s="30">
        <v>1</v>
      </c>
      <c r="Y50" s="25" t="s">
        <v>69</v>
      </c>
    </row>
    <row r="51" spans="1:25" x14ac:dyDescent="0.3">
      <c r="A51" s="14">
        <v>44</v>
      </c>
      <c r="B51" s="14">
        <v>2</v>
      </c>
      <c r="C51" s="14" t="s">
        <v>33</v>
      </c>
      <c r="D51" s="14">
        <v>1</v>
      </c>
      <c r="E51" s="14">
        <v>2</v>
      </c>
      <c r="F51" s="15" t="s">
        <v>78</v>
      </c>
      <c r="G51" s="26">
        <v>1</v>
      </c>
      <c r="H51" s="27">
        <v>2.3391203703703702E-2</v>
      </c>
      <c r="I51" s="17">
        <v>2021</v>
      </c>
      <c r="J51" s="28">
        <v>2.357638888888889E-2</v>
      </c>
      <c r="K51" s="19">
        <v>2037</v>
      </c>
      <c r="L51" s="20">
        <v>1.8518518518518753E-4</v>
      </c>
      <c r="M51" s="21">
        <v>16</v>
      </c>
      <c r="N51" s="21">
        <v>12.4</v>
      </c>
      <c r="O51" s="38">
        <v>40</v>
      </c>
      <c r="P51" s="38">
        <v>8</v>
      </c>
      <c r="Q51" s="42">
        <v>10</v>
      </c>
      <c r="R51" s="44">
        <v>0.2</v>
      </c>
      <c r="S51" s="44">
        <v>0.25</v>
      </c>
      <c r="T51" s="40">
        <f t="shared" si="1"/>
        <v>496</v>
      </c>
      <c r="U51" s="22" t="s">
        <v>21</v>
      </c>
      <c r="V51" s="22" t="s">
        <v>21</v>
      </c>
      <c r="W51" s="29">
        <v>0</v>
      </c>
      <c r="X51" s="30">
        <v>0</v>
      </c>
      <c r="Y51" s="25" t="s">
        <v>69</v>
      </c>
    </row>
    <row r="52" spans="1:25" x14ac:dyDescent="0.3">
      <c r="A52" s="14">
        <v>44</v>
      </c>
      <c r="B52" s="14">
        <v>2</v>
      </c>
      <c r="C52" s="14" t="s">
        <v>33</v>
      </c>
      <c r="D52" s="14">
        <v>1</v>
      </c>
      <c r="E52" s="14">
        <v>5</v>
      </c>
      <c r="F52" s="15" t="s">
        <v>79</v>
      </c>
      <c r="G52" s="26">
        <v>1</v>
      </c>
      <c r="H52" s="27">
        <v>1.1979166666666667E-2</v>
      </c>
      <c r="I52" s="17">
        <v>1035</v>
      </c>
      <c r="J52" s="28">
        <v>1.2106481481481482E-2</v>
      </c>
      <c r="K52" s="19">
        <v>1046</v>
      </c>
      <c r="L52" s="20">
        <v>1.2731481481481448E-4</v>
      </c>
      <c r="M52" s="21">
        <v>11</v>
      </c>
      <c r="N52" s="21">
        <v>12</v>
      </c>
      <c r="O52" s="38">
        <v>56</v>
      </c>
      <c r="P52" s="38">
        <v>11</v>
      </c>
      <c r="Q52" s="42">
        <v>9</v>
      </c>
      <c r="R52" s="44">
        <v>0.19642857142857142</v>
      </c>
      <c r="S52" s="44">
        <v>0.16071428571428573</v>
      </c>
      <c r="T52" s="40">
        <f t="shared" si="1"/>
        <v>672</v>
      </c>
      <c r="U52" s="22" t="s">
        <v>21</v>
      </c>
      <c r="V52" s="22" t="s">
        <v>21</v>
      </c>
      <c r="W52" s="29">
        <v>1</v>
      </c>
      <c r="X52" s="30">
        <v>0</v>
      </c>
      <c r="Y52" s="25" t="s">
        <v>69</v>
      </c>
    </row>
    <row r="53" spans="1:25" x14ac:dyDescent="0.3">
      <c r="A53" s="14">
        <v>44</v>
      </c>
      <c r="B53" s="14">
        <v>2</v>
      </c>
      <c r="C53" s="14" t="s">
        <v>33</v>
      </c>
      <c r="D53" s="14">
        <v>2</v>
      </c>
      <c r="E53" s="14">
        <v>2</v>
      </c>
      <c r="F53" s="15" t="s">
        <v>80</v>
      </c>
      <c r="G53" s="26">
        <v>1</v>
      </c>
      <c r="H53" s="27">
        <v>1.3622685185185186E-2</v>
      </c>
      <c r="I53" s="17">
        <v>1177</v>
      </c>
      <c r="J53" s="28">
        <v>1.3831018518518519E-2</v>
      </c>
      <c r="K53" s="19">
        <v>1195</v>
      </c>
      <c r="L53" s="20">
        <v>2.0833333333333294E-4</v>
      </c>
      <c r="M53" s="21">
        <v>18</v>
      </c>
      <c r="N53" s="21">
        <v>15.8</v>
      </c>
      <c r="O53" s="38">
        <v>51</v>
      </c>
      <c r="P53" s="38">
        <v>19</v>
      </c>
      <c r="Q53" s="42">
        <v>12</v>
      </c>
      <c r="R53" s="44">
        <v>0.37254901960784315</v>
      </c>
      <c r="S53" s="44">
        <v>0.23529411764705882</v>
      </c>
      <c r="T53" s="40">
        <f t="shared" si="1"/>
        <v>805.80000000000007</v>
      </c>
      <c r="U53" s="22" t="s">
        <v>21</v>
      </c>
      <c r="V53" s="22" t="s">
        <v>21</v>
      </c>
      <c r="W53" s="29">
        <v>1</v>
      </c>
      <c r="X53" s="30">
        <v>0</v>
      </c>
      <c r="Y53" s="25" t="s">
        <v>69</v>
      </c>
    </row>
    <row r="54" spans="1:25" x14ac:dyDescent="0.3">
      <c r="A54" s="14">
        <v>44</v>
      </c>
      <c r="B54" s="14">
        <v>2</v>
      </c>
      <c r="C54" s="14" t="s">
        <v>33</v>
      </c>
      <c r="D54" s="14">
        <v>2</v>
      </c>
      <c r="E54" s="14">
        <v>5</v>
      </c>
      <c r="F54" s="15" t="s">
        <v>81</v>
      </c>
      <c r="G54" s="26">
        <v>1</v>
      </c>
      <c r="H54" s="27">
        <v>7.5972222222222219E-2</v>
      </c>
      <c r="I54" s="17">
        <v>6564</v>
      </c>
      <c r="J54" s="28">
        <v>7.6180555555555557E-2</v>
      </c>
      <c r="K54" s="19">
        <v>6582</v>
      </c>
      <c r="L54" s="20">
        <v>2.0833333333333814E-4</v>
      </c>
      <c r="M54" s="21">
        <v>18</v>
      </c>
      <c r="N54" s="21">
        <v>14.2</v>
      </c>
      <c r="O54" s="38">
        <v>9</v>
      </c>
      <c r="P54" s="38">
        <v>1</v>
      </c>
      <c r="Q54" s="42">
        <v>4</v>
      </c>
      <c r="R54" s="44">
        <v>0.1111111111111111</v>
      </c>
      <c r="S54" s="44">
        <v>0.44444444444444442</v>
      </c>
      <c r="T54" s="40">
        <f t="shared" si="1"/>
        <v>127.8</v>
      </c>
      <c r="U54" s="22" t="s">
        <v>21</v>
      </c>
      <c r="V54" s="22" t="s">
        <v>21</v>
      </c>
      <c r="W54" s="29">
        <v>0</v>
      </c>
      <c r="X54" s="30">
        <v>1</v>
      </c>
      <c r="Y54" s="25" t="s">
        <v>69</v>
      </c>
    </row>
    <row r="55" spans="1:25" x14ac:dyDescent="0.3">
      <c r="A55" s="14">
        <v>44</v>
      </c>
      <c r="B55" s="14">
        <v>2</v>
      </c>
      <c r="C55" s="14" t="s">
        <v>33</v>
      </c>
      <c r="D55" s="14">
        <v>3</v>
      </c>
      <c r="E55" s="14">
        <v>2</v>
      </c>
      <c r="F55" s="15" t="s">
        <v>82</v>
      </c>
      <c r="G55" s="26">
        <v>1</v>
      </c>
      <c r="H55" s="27">
        <v>7.9745370370370369E-3</v>
      </c>
      <c r="I55" s="17">
        <v>689</v>
      </c>
      <c r="J55" s="28">
        <v>8.1828703703703699E-3</v>
      </c>
      <c r="K55" s="19">
        <v>707</v>
      </c>
      <c r="L55" s="20">
        <v>2.0833333333333294E-4</v>
      </c>
      <c r="M55" s="21">
        <v>18</v>
      </c>
      <c r="N55" s="21">
        <v>14.2</v>
      </c>
      <c r="O55" s="38">
        <v>32</v>
      </c>
      <c r="P55" s="38">
        <v>5</v>
      </c>
      <c r="Q55" s="42">
        <v>9</v>
      </c>
      <c r="R55" s="44">
        <v>0.15625</v>
      </c>
      <c r="S55" s="44">
        <v>0.28125</v>
      </c>
      <c r="T55" s="40">
        <f t="shared" si="1"/>
        <v>454.4</v>
      </c>
      <c r="U55" s="22" t="s">
        <v>21</v>
      </c>
      <c r="V55" s="22" t="s">
        <v>21</v>
      </c>
      <c r="W55" s="29">
        <v>1</v>
      </c>
      <c r="X55" s="30">
        <v>0</v>
      </c>
      <c r="Y55" s="25" t="s">
        <v>69</v>
      </c>
    </row>
    <row r="56" spans="1:25" x14ac:dyDescent="0.3">
      <c r="A56" s="14">
        <v>44</v>
      </c>
      <c r="B56" s="14">
        <v>2</v>
      </c>
      <c r="C56" s="14" t="s">
        <v>33</v>
      </c>
      <c r="D56" s="14">
        <v>3</v>
      </c>
      <c r="E56" s="14">
        <v>5</v>
      </c>
      <c r="F56" s="15" t="s">
        <v>83</v>
      </c>
      <c r="G56" s="26">
        <v>1</v>
      </c>
      <c r="H56" s="27">
        <v>5.4513888888888893E-3</v>
      </c>
      <c r="I56" s="17">
        <v>471</v>
      </c>
      <c r="J56" s="28">
        <v>5.5902777777777773E-3</v>
      </c>
      <c r="K56" s="19">
        <v>483</v>
      </c>
      <c r="L56" s="20">
        <v>1.3888888888888805E-4</v>
      </c>
      <c r="M56" s="21">
        <v>12</v>
      </c>
      <c r="N56" s="21">
        <v>11.6</v>
      </c>
      <c r="O56" s="38">
        <v>60</v>
      </c>
      <c r="P56" s="38">
        <v>20</v>
      </c>
      <c r="Q56" s="42">
        <v>17</v>
      </c>
      <c r="R56" s="44">
        <v>0.33333333333333331</v>
      </c>
      <c r="S56" s="44">
        <v>0.28333333333333333</v>
      </c>
      <c r="T56" s="40">
        <f t="shared" si="1"/>
        <v>696</v>
      </c>
      <c r="U56" s="22" t="s">
        <v>21</v>
      </c>
      <c r="V56" s="22" t="s">
        <v>21</v>
      </c>
      <c r="W56" s="29">
        <v>1</v>
      </c>
      <c r="X56" s="30">
        <v>0</v>
      </c>
      <c r="Y56" s="25" t="s">
        <v>69</v>
      </c>
    </row>
    <row r="57" spans="1:25" x14ac:dyDescent="0.3">
      <c r="A57" s="14">
        <v>44</v>
      </c>
      <c r="B57" s="14">
        <v>2</v>
      </c>
      <c r="C57" s="14" t="s">
        <v>39</v>
      </c>
      <c r="D57" s="14">
        <v>1</v>
      </c>
      <c r="E57" s="14">
        <v>2</v>
      </c>
      <c r="F57" s="15" t="s">
        <v>84</v>
      </c>
      <c r="G57" s="26">
        <v>1</v>
      </c>
      <c r="H57" s="27">
        <v>5.5902777777777773E-3</v>
      </c>
      <c r="I57" s="17">
        <v>483</v>
      </c>
      <c r="J57" s="28">
        <v>5.7291666666666663E-3</v>
      </c>
      <c r="K57" s="19">
        <v>495</v>
      </c>
      <c r="L57" s="20">
        <v>1.3888888888888892E-4</v>
      </c>
      <c r="M57" s="21">
        <v>12</v>
      </c>
      <c r="N57" s="21">
        <v>15.6</v>
      </c>
      <c r="O57" s="38">
        <v>57</v>
      </c>
      <c r="P57" s="38">
        <v>3</v>
      </c>
      <c r="Q57" s="42">
        <v>17</v>
      </c>
      <c r="R57" s="44">
        <v>5.2631578947368418E-2</v>
      </c>
      <c r="S57" s="44">
        <v>0.2982456140350877</v>
      </c>
      <c r="T57" s="40">
        <f t="shared" si="1"/>
        <v>889.19999999999993</v>
      </c>
      <c r="U57" s="22" t="s">
        <v>21</v>
      </c>
      <c r="V57" s="22" t="s">
        <v>21</v>
      </c>
      <c r="W57" s="29">
        <v>1</v>
      </c>
      <c r="X57" s="30">
        <v>0</v>
      </c>
      <c r="Y57" s="25" t="s">
        <v>69</v>
      </c>
    </row>
    <row r="58" spans="1:25" x14ac:dyDescent="0.3">
      <c r="A58" s="14">
        <v>44</v>
      </c>
      <c r="B58" s="14">
        <v>2</v>
      </c>
      <c r="C58" s="14" t="s">
        <v>39</v>
      </c>
      <c r="D58" s="14">
        <v>1</v>
      </c>
      <c r="E58" s="14">
        <v>5</v>
      </c>
      <c r="F58" s="15" t="s">
        <v>85</v>
      </c>
      <c r="G58" s="26">
        <v>1</v>
      </c>
      <c r="H58" s="27">
        <v>3.0439814814814813E-3</v>
      </c>
      <c r="I58" s="17">
        <v>263</v>
      </c>
      <c r="J58" s="28">
        <v>3.2407407407407406E-3</v>
      </c>
      <c r="K58" s="19">
        <v>280</v>
      </c>
      <c r="L58" s="20">
        <v>1.9675925925925937E-4</v>
      </c>
      <c r="M58" s="21">
        <v>17</v>
      </c>
      <c r="N58" s="21">
        <v>13.4</v>
      </c>
      <c r="O58" s="38">
        <v>56</v>
      </c>
      <c r="P58" s="38">
        <v>0</v>
      </c>
      <c r="Q58" s="42">
        <v>20</v>
      </c>
      <c r="R58" s="44">
        <v>0</v>
      </c>
      <c r="S58" s="44">
        <v>0.35714285714285715</v>
      </c>
      <c r="T58" s="40">
        <f t="shared" si="1"/>
        <v>750.4</v>
      </c>
      <c r="U58" s="22" t="s">
        <v>21</v>
      </c>
      <c r="V58" s="22" t="s">
        <v>21</v>
      </c>
      <c r="W58" s="29">
        <v>0</v>
      </c>
      <c r="X58" s="30">
        <v>0</v>
      </c>
      <c r="Y58" s="25" t="s">
        <v>69</v>
      </c>
    </row>
    <row r="59" spans="1:25" x14ac:dyDescent="0.3">
      <c r="A59" s="14">
        <v>44</v>
      </c>
      <c r="B59" s="14">
        <v>2</v>
      </c>
      <c r="C59" s="14" t="s">
        <v>39</v>
      </c>
      <c r="D59" s="14">
        <v>2</v>
      </c>
      <c r="E59" s="14">
        <v>2</v>
      </c>
      <c r="F59" s="15" t="s">
        <v>86</v>
      </c>
      <c r="G59" s="26">
        <v>1</v>
      </c>
      <c r="H59" s="27">
        <v>2.2337962962962962E-3</v>
      </c>
      <c r="I59" s="17">
        <v>193</v>
      </c>
      <c r="J59" s="28">
        <v>2.3726851851851851E-3</v>
      </c>
      <c r="K59" s="19">
        <v>205</v>
      </c>
      <c r="L59" s="20">
        <v>1.3888888888888892E-4</v>
      </c>
      <c r="M59" s="21">
        <v>12</v>
      </c>
      <c r="N59" s="21">
        <v>12.4</v>
      </c>
      <c r="O59" s="38">
        <v>78</v>
      </c>
      <c r="P59" s="38">
        <v>16</v>
      </c>
      <c r="Q59" s="42">
        <v>33</v>
      </c>
      <c r="R59" s="44">
        <v>0.20512820512820512</v>
      </c>
      <c r="S59" s="44">
        <v>0.42307692307692307</v>
      </c>
      <c r="T59" s="40">
        <f t="shared" si="1"/>
        <v>967.2</v>
      </c>
      <c r="U59" s="22" t="s">
        <v>21</v>
      </c>
      <c r="V59" s="22" t="s">
        <v>21</v>
      </c>
      <c r="W59" s="29">
        <v>1</v>
      </c>
      <c r="X59" s="30">
        <v>1</v>
      </c>
      <c r="Y59" s="25" t="s">
        <v>69</v>
      </c>
    </row>
    <row r="60" spans="1:25" x14ac:dyDescent="0.3">
      <c r="A60" s="14">
        <v>44</v>
      </c>
      <c r="B60" s="14">
        <v>2</v>
      </c>
      <c r="C60" s="14" t="s">
        <v>39</v>
      </c>
      <c r="D60" s="14">
        <v>2</v>
      </c>
      <c r="E60" s="14">
        <v>5</v>
      </c>
      <c r="F60" s="15" t="s">
        <v>87</v>
      </c>
      <c r="G60" s="26">
        <v>1</v>
      </c>
      <c r="H60" s="27">
        <v>1.1574074074074075E-4</v>
      </c>
      <c r="I60" s="17">
        <v>10</v>
      </c>
      <c r="J60" s="28">
        <v>2.0833333333333335E-4</v>
      </c>
      <c r="K60" s="19">
        <v>18</v>
      </c>
      <c r="L60" s="20">
        <v>9.2592592592592602E-5</v>
      </c>
      <c r="M60" s="21">
        <v>8</v>
      </c>
      <c r="N60" s="21">
        <v>16.399999999999999</v>
      </c>
      <c r="O60" s="38">
        <v>87</v>
      </c>
      <c r="P60" s="38">
        <v>35</v>
      </c>
      <c r="Q60" s="42">
        <v>18</v>
      </c>
      <c r="R60" s="44">
        <v>0.40229885057471265</v>
      </c>
      <c r="S60" s="44">
        <v>0.20689655172413793</v>
      </c>
      <c r="T60" s="40">
        <f t="shared" si="1"/>
        <v>1426.8</v>
      </c>
      <c r="U60" s="22" t="s">
        <v>21</v>
      </c>
      <c r="V60" s="22" t="s">
        <v>21</v>
      </c>
      <c r="W60" s="29">
        <v>1</v>
      </c>
      <c r="X60" s="30">
        <v>0</v>
      </c>
      <c r="Y60" s="25" t="s">
        <v>69</v>
      </c>
    </row>
    <row r="61" spans="1:25" x14ac:dyDescent="0.3">
      <c r="A61" s="14">
        <v>44</v>
      </c>
      <c r="B61" s="14">
        <v>2</v>
      </c>
      <c r="C61" s="14" t="s">
        <v>39</v>
      </c>
      <c r="D61" s="14">
        <v>3</v>
      </c>
      <c r="E61" s="14">
        <v>2</v>
      </c>
      <c r="F61" s="15" t="s">
        <v>88</v>
      </c>
      <c r="G61" s="26">
        <v>1</v>
      </c>
      <c r="H61" s="27">
        <v>4.9768518518518521E-3</v>
      </c>
      <c r="I61" s="17">
        <v>430</v>
      </c>
      <c r="J61" s="28">
        <v>5.092592592592593E-3</v>
      </c>
      <c r="K61" s="19">
        <v>440</v>
      </c>
      <c r="L61" s="20">
        <v>1.1574074074074091E-4</v>
      </c>
      <c r="M61" s="21">
        <v>10</v>
      </c>
      <c r="N61" s="21">
        <v>11.2</v>
      </c>
      <c r="O61" s="38">
        <v>45</v>
      </c>
      <c r="P61" s="38">
        <v>26</v>
      </c>
      <c r="Q61" s="42">
        <v>15</v>
      </c>
      <c r="R61" s="44">
        <v>0.57777777777777772</v>
      </c>
      <c r="S61" s="44">
        <v>0.33333333333333331</v>
      </c>
      <c r="T61" s="40">
        <f t="shared" si="1"/>
        <v>503.99999999999994</v>
      </c>
      <c r="U61" s="22" t="s">
        <v>21</v>
      </c>
      <c r="V61" s="22" t="s">
        <v>21</v>
      </c>
      <c r="W61" s="29">
        <v>1</v>
      </c>
      <c r="X61" s="30">
        <v>1</v>
      </c>
      <c r="Y61" s="25" t="s">
        <v>69</v>
      </c>
    </row>
    <row r="62" spans="1:25" x14ac:dyDescent="0.3">
      <c r="A62" s="14">
        <v>44</v>
      </c>
      <c r="B62" s="14">
        <v>3</v>
      </c>
      <c r="C62" s="14" t="s">
        <v>46</v>
      </c>
      <c r="D62" s="14">
        <v>1</v>
      </c>
      <c r="E62" s="14">
        <v>2</v>
      </c>
      <c r="F62" s="15" t="s">
        <v>89</v>
      </c>
      <c r="G62" s="26">
        <v>1</v>
      </c>
      <c r="H62" s="27">
        <v>3.9351851851851852E-4</v>
      </c>
      <c r="I62" s="17">
        <v>34</v>
      </c>
      <c r="J62" s="28">
        <v>6.134259259259259E-4</v>
      </c>
      <c r="K62" s="19">
        <v>53</v>
      </c>
      <c r="L62" s="20">
        <v>2.1990740740740738E-4</v>
      </c>
      <c r="M62" s="21">
        <v>19</v>
      </c>
      <c r="N62" s="21">
        <v>15</v>
      </c>
      <c r="O62" s="38">
        <v>49</v>
      </c>
      <c r="P62" s="38">
        <v>10</v>
      </c>
      <c r="Q62" s="42">
        <v>13</v>
      </c>
      <c r="R62" s="44">
        <v>0.20408163265306123</v>
      </c>
      <c r="S62" s="44">
        <v>0.26530612244897961</v>
      </c>
      <c r="T62" s="40">
        <f t="shared" si="1"/>
        <v>735</v>
      </c>
      <c r="U62" s="22" t="s">
        <v>21</v>
      </c>
      <c r="V62" s="22" t="s">
        <v>21</v>
      </c>
      <c r="W62" s="29">
        <v>0</v>
      </c>
      <c r="X62" s="30">
        <v>0</v>
      </c>
      <c r="Y62" s="25" t="s">
        <v>69</v>
      </c>
    </row>
    <row r="63" spans="1:25" x14ac:dyDescent="0.3">
      <c r="A63" s="14">
        <v>44</v>
      </c>
      <c r="B63" s="14">
        <v>3</v>
      </c>
      <c r="C63" s="14" t="s">
        <v>46</v>
      </c>
      <c r="D63" s="14">
        <v>1</v>
      </c>
      <c r="E63" s="14">
        <v>5</v>
      </c>
      <c r="F63" s="15" t="s">
        <v>90</v>
      </c>
      <c r="G63" s="26">
        <v>1</v>
      </c>
      <c r="H63" s="27">
        <v>5.2893518518518515E-3</v>
      </c>
      <c r="I63" s="17">
        <v>457</v>
      </c>
      <c r="J63" s="28">
        <v>5.4282407407407404E-3</v>
      </c>
      <c r="K63" s="19">
        <v>469</v>
      </c>
      <c r="L63" s="20">
        <v>1.3888888888888892E-4</v>
      </c>
      <c r="M63" s="21">
        <v>12</v>
      </c>
      <c r="N63" s="21">
        <v>12</v>
      </c>
      <c r="O63" s="38">
        <v>19</v>
      </c>
      <c r="P63" s="38">
        <v>8</v>
      </c>
      <c r="Q63" s="42">
        <v>4</v>
      </c>
      <c r="R63" s="44">
        <v>0.42105263157894735</v>
      </c>
      <c r="S63" s="44">
        <v>0.21052631578947367</v>
      </c>
      <c r="T63" s="40">
        <f t="shared" si="1"/>
        <v>228</v>
      </c>
      <c r="U63" s="22" t="s">
        <v>21</v>
      </c>
      <c r="V63" s="22" t="s">
        <v>21</v>
      </c>
      <c r="W63" s="29">
        <v>1</v>
      </c>
      <c r="X63" s="30">
        <v>0</v>
      </c>
      <c r="Y63" s="25" t="s">
        <v>69</v>
      </c>
    </row>
    <row r="64" spans="1:25" x14ac:dyDescent="0.3">
      <c r="A64" s="14">
        <v>44</v>
      </c>
      <c r="B64" s="14">
        <v>3</v>
      </c>
      <c r="C64" s="14" t="s">
        <v>46</v>
      </c>
      <c r="D64" s="14">
        <v>2</v>
      </c>
      <c r="E64" s="14">
        <v>2</v>
      </c>
      <c r="F64" s="15" t="s">
        <v>91</v>
      </c>
      <c r="G64" s="26">
        <v>1</v>
      </c>
      <c r="H64" s="27">
        <v>2.5057870370370369E-2</v>
      </c>
      <c r="I64" s="17">
        <v>2165</v>
      </c>
      <c r="J64" s="28">
        <v>2.5185185185185185E-2</v>
      </c>
      <c r="K64" s="19">
        <v>2176</v>
      </c>
      <c r="L64" s="20">
        <v>1.2731481481481621E-4</v>
      </c>
      <c r="M64" s="21">
        <v>11</v>
      </c>
      <c r="N64" s="21">
        <v>9.6</v>
      </c>
      <c r="O64" s="38">
        <v>9</v>
      </c>
      <c r="P64" s="38">
        <v>2</v>
      </c>
      <c r="Q64" s="42">
        <v>5</v>
      </c>
      <c r="R64" s="44">
        <v>0.22222222222222221</v>
      </c>
      <c r="S64" s="44">
        <v>0.55555555555555558</v>
      </c>
      <c r="T64" s="40">
        <f t="shared" si="1"/>
        <v>86.399999999999991</v>
      </c>
      <c r="U64" s="22" t="s">
        <v>21</v>
      </c>
      <c r="V64" s="22" t="s">
        <v>21</v>
      </c>
      <c r="W64" s="29">
        <v>0</v>
      </c>
      <c r="X64" s="30">
        <v>1</v>
      </c>
      <c r="Y64" s="25" t="s">
        <v>69</v>
      </c>
    </row>
    <row r="65" spans="1:25" x14ac:dyDescent="0.3">
      <c r="A65" s="14">
        <v>44</v>
      </c>
      <c r="B65" s="14">
        <v>3</v>
      </c>
      <c r="C65" s="14" t="s">
        <v>46</v>
      </c>
      <c r="D65" s="14">
        <v>2</v>
      </c>
      <c r="E65" s="14">
        <v>5</v>
      </c>
      <c r="F65" s="15" t="s">
        <v>92</v>
      </c>
      <c r="G65" s="26">
        <v>1</v>
      </c>
      <c r="H65" s="27">
        <v>2.4074074074074076E-3</v>
      </c>
      <c r="I65" s="17">
        <v>208</v>
      </c>
      <c r="J65" s="28">
        <v>2.5462962962962965E-3</v>
      </c>
      <c r="K65" s="19">
        <v>220</v>
      </c>
      <c r="L65" s="20">
        <v>1.3888888888888892E-4</v>
      </c>
      <c r="M65" s="21">
        <v>12</v>
      </c>
      <c r="N65" s="21">
        <v>12.2</v>
      </c>
      <c r="O65" s="38">
        <v>69</v>
      </c>
      <c r="P65" s="38">
        <v>23</v>
      </c>
      <c r="Q65" s="42">
        <v>16</v>
      </c>
      <c r="R65" s="44">
        <v>0.33333333333333331</v>
      </c>
      <c r="S65" s="44">
        <v>0.2318840579710145</v>
      </c>
      <c r="T65" s="40">
        <f t="shared" si="1"/>
        <v>841.8</v>
      </c>
      <c r="U65" s="22" t="s">
        <v>21</v>
      </c>
      <c r="V65" s="22" t="s">
        <v>21</v>
      </c>
      <c r="W65" s="29">
        <v>1</v>
      </c>
      <c r="X65" s="30">
        <v>0</v>
      </c>
      <c r="Y65" s="25" t="s">
        <v>69</v>
      </c>
    </row>
    <row r="66" spans="1:25" x14ac:dyDescent="0.3">
      <c r="A66" s="14">
        <v>44</v>
      </c>
      <c r="B66" s="14">
        <v>3</v>
      </c>
      <c r="C66" s="14" t="s">
        <v>46</v>
      </c>
      <c r="D66" s="14">
        <v>3</v>
      </c>
      <c r="E66" s="14">
        <v>5</v>
      </c>
      <c r="F66" s="15" t="s">
        <v>93</v>
      </c>
      <c r="G66" s="26">
        <v>1</v>
      </c>
      <c r="H66" s="27">
        <v>3.7916666666666668E-2</v>
      </c>
      <c r="I66" s="17">
        <v>3276</v>
      </c>
      <c r="J66" s="28">
        <v>3.7986111111111109E-2</v>
      </c>
      <c r="K66" s="19">
        <v>3282</v>
      </c>
      <c r="L66" s="20">
        <v>6.9444444444441422E-5</v>
      </c>
      <c r="M66" s="21">
        <v>6</v>
      </c>
      <c r="N66" s="21">
        <v>10.4</v>
      </c>
      <c r="O66" s="38">
        <v>15</v>
      </c>
      <c r="P66" s="38">
        <v>3</v>
      </c>
      <c r="Q66" s="42">
        <v>3</v>
      </c>
      <c r="R66" s="44">
        <v>0.2</v>
      </c>
      <c r="S66" s="44">
        <v>0.2</v>
      </c>
      <c r="T66" s="40">
        <f t="shared" ref="T66:T97" si="2">O66*N66</f>
        <v>156</v>
      </c>
      <c r="U66" s="22" t="s">
        <v>21</v>
      </c>
      <c r="V66" s="22" t="s">
        <v>21</v>
      </c>
      <c r="W66" s="29">
        <v>0</v>
      </c>
      <c r="X66" s="30">
        <v>0</v>
      </c>
      <c r="Y66" s="25" t="s">
        <v>69</v>
      </c>
    </row>
    <row r="67" spans="1:25" x14ac:dyDescent="0.3">
      <c r="A67" s="14">
        <v>44</v>
      </c>
      <c r="B67" s="14">
        <v>3</v>
      </c>
      <c r="C67" s="14" t="s">
        <v>53</v>
      </c>
      <c r="D67" s="14">
        <v>2</v>
      </c>
      <c r="E67" s="14">
        <v>2</v>
      </c>
      <c r="F67" s="15" t="s">
        <v>94</v>
      </c>
      <c r="G67" s="26">
        <v>1</v>
      </c>
      <c r="H67" s="27">
        <v>1.0300925925925926E-3</v>
      </c>
      <c r="I67" s="17">
        <v>89</v>
      </c>
      <c r="J67" s="28">
        <v>1.2152777777777778E-3</v>
      </c>
      <c r="K67" s="19">
        <v>105</v>
      </c>
      <c r="L67" s="20">
        <v>1.8518518518518515E-4</v>
      </c>
      <c r="M67" s="21">
        <v>16</v>
      </c>
      <c r="N67" s="21">
        <v>13</v>
      </c>
      <c r="O67" s="38">
        <v>59</v>
      </c>
      <c r="P67" s="38">
        <v>16</v>
      </c>
      <c r="Q67" s="42">
        <v>18</v>
      </c>
      <c r="R67" s="44">
        <v>0.2711864406779661</v>
      </c>
      <c r="S67" s="44">
        <v>0.30508474576271188</v>
      </c>
      <c r="T67" s="40">
        <f t="shared" si="2"/>
        <v>767</v>
      </c>
      <c r="U67" s="22" t="s">
        <v>21</v>
      </c>
      <c r="V67" s="22" t="s">
        <v>21</v>
      </c>
      <c r="W67" s="29">
        <v>0</v>
      </c>
      <c r="X67" s="30">
        <v>0</v>
      </c>
      <c r="Y67" s="25" t="s">
        <v>69</v>
      </c>
    </row>
    <row r="68" spans="1:25" x14ac:dyDescent="0.3">
      <c r="A68" s="14">
        <v>44</v>
      </c>
      <c r="B68" s="14">
        <v>3</v>
      </c>
      <c r="C68" s="14" t="s">
        <v>53</v>
      </c>
      <c r="D68" s="14">
        <v>2</v>
      </c>
      <c r="E68" s="14">
        <v>5</v>
      </c>
      <c r="F68" s="15" t="s">
        <v>95</v>
      </c>
      <c r="G68" s="26">
        <v>1</v>
      </c>
      <c r="H68" s="27">
        <v>9.7685185185185184E-3</v>
      </c>
      <c r="I68" s="17">
        <v>844</v>
      </c>
      <c r="J68" s="28">
        <v>9.8842592592592593E-3</v>
      </c>
      <c r="K68" s="19">
        <v>854</v>
      </c>
      <c r="L68" s="20">
        <v>1.1574074074074091E-4</v>
      </c>
      <c r="M68" s="21">
        <v>10</v>
      </c>
      <c r="N68" s="21">
        <v>10.199999999999999</v>
      </c>
      <c r="O68" s="38">
        <v>15</v>
      </c>
      <c r="P68" s="38">
        <v>4</v>
      </c>
      <c r="Q68" s="42">
        <v>7</v>
      </c>
      <c r="R68" s="44">
        <v>0.26666666666666666</v>
      </c>
      <c r="S68" s="44">
        <v>0.46666666666666667</v>
      </c>
      <c r="T68" s="40">
        <f t="shared" si="2"/>
        <v>153</v>
      </c>
      <c r="U68" s="22" t="s">
        <v>21</v>
      </c>
      <c r="V68" s="22" t="s">
        <v>21</v>
      </c>
      <c r="W68" s="29">
        <v>1</v>
      </c>
      <c r="X68" s="30">
        <v>1</v>
      </c>
      <c r="Y68" s="25" t="s">
        <v>69</v>
      </c>
    </row>
    <row r="69" spans="1:25" x14ac:dyDescent="0.3">
      <c r="A69" s="14">
        <v>44</v>
      </c>
      <c r="B69" s="14">
        <v>3</v>
      </c>
      <c r="C69" s="14" t="s">
        <v>53</v>
      </c>
      <c r="D69" s="14">
        <v>3</v>
      </c>
      <c r="E69" s="14">
        <v>2</v>
      </c>
      <c r="F69" s="15" t="s">
        <v>96</v>
      </c>
      <c r="G69" s="26">
        <v>1</v>
      </c>
      <c r="H69" s="27">
        <v>5.5555555555555556E-4</v>
      </c>
      <c r="I69" s="17">
        <v>48</v>
      </c>
      <c r="J69" s="28">
        <v>7.291666666666667E-4</v>
      </c>
      <c r="K69" s="19">
        <v>63</v>
      </c>
      <c r="L69" s="20">
        <v>1.7361111111111114E-4</v>
      </c>
      <c r="M69" s="21">
        <v>15</v>
      </c>
      <c r="N69" s="21">
        <v>12</v>
      </c>
      <c r="O69" s="38">
        <v>29</v>
      </c>
      <c r="P69" s="38">
        <v>1</v>
      </c>
      <c r="Q69" s="42">
        <v>0</v>
      </c>
      <c r="R69" s="44">
        <v>3.4482758620689655E-2</v>
      </c>
      <c r="S69" s="44">
        <v>0</v>
      </c>
      <c r="T69" s="40">
        <f t="shared" si="2"/>
        <v>348</v>
      </c>
      <c r="U69" s="22" t="s">
        <v>21</v>
      </c>
      <c r="V69" s="22" t="s">
        <v>21</v>
      </c>
      <c r="W69" s="29">
        <v>0</v>
      </c>
      <c r="X69" s="30">
        <v>0</v>
      </c>
      <c r="Y69" s="25" t="s">
        <v>69</v>
      </c>
    </row>
    <row r="70" spans="1:25" x14ac:dyDescent="0.3">
      <c r="A70" s="14">
        <v>44</v>
      </c>
      <c r="B70" s="14">
        <v>3</v>
      </c>
      <c r="C70" s="14" t="s">
        <v>53</v>
      </c>
      <c r="D70" s="14">
        <v>3</v>
      </c>
      <c r="E70" s="14">
        <v>5</v>
      </c>
      <c r="F70" s="15" t="s">
        <v>97</v>
      </c>
      <c r="G70" s="26">
        <v>1</v>
      </c>
      <c r="H70" s="27">
        <v>1.5625000000000001E-3</v>
      </c>
      <c r="I70" s="17">
        <v>135</v>
      </c>
      <c r="J70" s="28">
        <v>1.724537037037037E-3</v>
      </c>
      <c r="K70" s="19">
        <v>149</v>
      </c>
      <c r="L70" s="20">
        <v>1.6203703703703692E-4</v>
      </c>
      <c r="M70" s="21">
        <v>14</v>
      </c>
      <c r="N70" s="21">
        <v>11.8</v>
      </c>
      <c r="O70" s="38">
        <v>57</v>
      </c>
      <c r="P70" s="38">
        <v>31</v>
      </c>
      <c r="Q70" s="42">
        <v>22</v>
      </c>
      <c r="R70" s="44">
        <v>0.54385964912280704</v>
      </c>
      <c r="S70" s="44">
        <v>0.38596491228070173</v>
      </c>
      <c r="T70" s="40">
        <f t="shared" si="2"/>
        <v>672.6</v>
      </c>
      <c r="U70" s="22" t="s">
        <v>21</v>
      </c>
      <c r="V70" s="22" t="s">
        <v>21</v>
      </c>
      <c r="W70" s="29">
        <v>1</v>
      </c>
      <c r="X70" s="30">
        <v>0</v>
      </c>
      <c r="Y70" s="25" t="s">
        <v>69</v>
      </c>
    </row>
    <row r="71" spans="1:25" x14ac:dyDescent="0.3">
      <c r="A71" s="14">
        <v>44</v>
      </c>
      <c r="B71" s="14">
        <v>4</v>
      </c>
      <c r="C71" s="25" t="s">
        <v>57</v>
      </c>
      <c r="D71" s="25">
        <v>1</v>
      </c>
      <c r="E71" s="25">
        <v>2</v>
      </c>
      <c r="F71" s="25" t="s">
        <v>98</v>
      </c>
      <c r="G71" s="26">
        <v>1</v>
      </c>
      <c r="H71" s="27">
        <v>4.4444444444444444E-3</v>
      </c>
      <c r="I71" s="17">
        <v>384</v>
      </c>
      <c r="J71" s="28">
        <v>4.5370370370370373E-3</v>
      </c>
      <c r="K71" s="19">
        <v>392</v>
      </c>
      <c r="L71" s="31">
        <v>9.25925925925929E-5</v>
      </c>
      <c r="M71" s="21">
        <v>8</v>
      </c>
      <c r="N71" s="21">
        <v>8.8000000000000007</v>
      </c>
      <c r="O71" s="38">
        <v>48</v>
      </c>
      <c r="P71" s="38">
        <v>26</v>
      </c>
      <c r="Q71" s="42">
        <v>18</v>
      </c>
      <c r="R71" s="44">
        <v>0.54166666666666663</v>
      </c>
      <c r="S71" s="44">
        <v>0.375</v>
      </c>
      <c r="T71" s="40">
        <f t="shared" si="2"/>
        <v>422.40000000000003</v>
      </c>
      <c r="U71" s="32" t="s">
        <v>21</v>
      </c>
      <c r="V71" s="32" t="s">
        <v>21</v>
      </c>
      <c r="W71" s="33">
        <v>0</v>
      </c>
      <c r="X71" s="34">
        <v>0</v>
      </c>
      <c r="Y71" s="25" t="s">
        <v>69</v>
      </c>
    </row>
    <row r="72" spans="1:25" x14ac:dyDescent="0.3">
      <c r="A72" s="14">
        <v>44</v>
      </c>
      <c r="B72" s="14">
        <v>4</v>
      </c>
      <c r="C72" s="25" t="s">
        <v>57</v>
      </c>
      <c r="D72" s="25">
        <v>1</v>
      </c>
      <c r="E72" s="25">
        <v>5</v>
      </c>
      <c r="F72" s="25" t="s">
        <v>99</v>
      </c>
      <c r="G72" s="26">
        <v>1</v>
      </c>
      <c r="H72" s="27">
        <v>5.7407407407407407E-3</v>
      </c>
      <c r="I72" s="17">
        <v>496</v>
      </c>
      <c r="J72" s="28">
        <v>5.8564814814814816E-3</v>
      </c>
      <c r="K72" s="19">
        <v>506</v>
      </c>
      <c r="L72" s="31">
        <v>1.1574074074074091E-4</v>
      </c>
      <c r="M72" s="21">
        <v>10</v>
      </c>
      <c r="N72" s="21">
        <v>11.4</v>
      </c>
      <c r="O72" s="38">
        <v>44</v>
      </c>
      <c r="P72" s="38">
        <v>35</v>
      </c>
      <c r="Q72" s="42">
        <v>3</v>
      </c>
      <c r="R72" s="44">
        <v>0.79545454545454541</v>
      </c>
      <c r="S72" s="44">
        <v>6.8181818181818177E-2</v>
      </c>
      <c r="T72" s="40">
        <f t="shared" si="2"/>
        <v>501.6</v>
      </c>
      <c r="U72" s="35" t="s">
        <v>21</v>
      </c>
      <c r="V72" s="35" t="s">
        <v>21</v>
      </c>
      <c r="W72" s="33">
        <v>1</v>
      </c>
      <c r="X72" s="34">
        <v>0</v>
      </c>
      <c r="Y72" s="25" t="s">
        <v>69</v>
      </c>
    </row>
    <row r="73" spans="1:25" x14ac:dyDescent="0.3">
      <c r="A73" s="14">
        <v>44</v>
      </c>
      <c r="B73" s="14">
        <v>4</v>
      </c>
      <c r="C73" s="25" t="s">
        <v>57</v>
      </c>
      <c r="D73" s="25">
        <v>2</v>
      </c>
      <c r="E73" s="25">
        <v>2</v>
      </c>
      <c r="F73" s="36" t="s">
        <v>100</v>
      </c>
      <c r="G73" s="26">
        <v>1</v>
      </c>
      <c r="H73" s="27">
        <v>1.3020833333333334E-2</v>
      </c>
      <c r="I73" s="17">
        <v>1125</v>
      </c>
      <c r="J73" s="28">
        <v>1.3136574074074075E-2</v>
      </c>
      <c r="K73" s="19">
        <v>1135</v>
      </c>
      <c r="L73" s="31">
        <v>1.1574074074074091E-4</v>
      </c>
      <c r="M73" s="21">
        <v>10</v>
      </c>
      <c r="N73" s="21">
        <v>8.4</v>
      </c>
      <c r="O73" s="38">
        <v>27</v>
      </c>
      <c r="P73" s="38">
        <v>9</v>
      </c>
      <c r="Q73" s="42">
        <v>6</v>
      </c>
      <c r="R73" s="44">
        <v>0.33333333333333331</v>
      </c>
      <c r="S73" s="44">
        <v>0.22222222222222221</v>
      </c>
      <c r="T73" s="40">
        <f t="shared" si="2"/>
        <v>226.8</v>
      </c>
      <c r="U73" s="35" t="s">
        <v>21</v>
      </c>
      <c r="V73" s="35" t="s">
        <v>21</v>
      </c>
      <c r="W73" s="33">
        <v>1</v>
      </c>
      <c r="X73" s="34">
        <v>0</v>
      </c>
      <c r="Y73" s="25" t="s">
        <v>69</v>
      </c>
    </row>
    <row r="74" spans="1:25" x14ac:dyDescent="0.3">
      <c r="A74" s="14">
        <v>44</v>
      </c>
      <c r="B74" s="14">
        <v>4</v>
      </c>
      <c r="C74" s="25" t="s">
        <v>57</v>
      </c>
      <c r="D74" s="25">
        <v>2</v>
      </c>
      <c r="E74" s="25">
        <v>5</v>
      </c>
      <c r="F74" s="25" t="s">
        <v>101</v>
      </c>
      <c r="G74" s="26">
        <v>1</v>
      </c>
      <c r="H74" s="27">
        <v>3.7962962962962963E-3</v>
      </c>
      <c r="I74" s="17">
        <v>328</v>
      </c>
      <c r="J74" s="28">
        <v>3.8773148148148148E-3</v>
      </c>
      <c r="K74" s="19">
        <v>335</v>
      </c>
      <c r="L74" s="31">
        <v>8.1018518518518462E-5</v>
      </c>
      <c r="M74" s="21">
        <v>7</v>
      </c>
      <c r="N74" s="21">
        <v>10</v>
      </c>
      <c r="O74" s="38">
        <v>58</v>
      </c>
      <c r="P74" s="38">
        <v>4</v>
      </c>
      <c r="Q74" s="42">
        <v>12</v>
      </c>
      <c r="R74" s="44">
        <v>6.8965517241379309E-2</v>
      </c>
      <c r="S74" s="44">
        <v>0.20689655172413793</v>
      </c>
      <c r="T74" s="40">
        <f t="shared" si="2"/>
        <v>580</v>
      </c>
      <c r="U74" s="35" t="s">
        <v>21</v>
      </c>
      <c r="V74" s="35" t="s">
        <v>21</v>
      </c>
      <c r="W74" s="33">
        <v>0</v>
      </c>
      <c r="X74" s="34">
        <v>0</v>
      </c>
      <c r="Y74" s="25" t="s">
        <v>69</v>
      </c>
    </row>
    <row r="75" spans="1:25" x14ac:dyDescent="0.3">
      <c r="A75" s="14">
        <v>44</v>
      </c>
      <c r="B75" s="14">
        <v>4</v>
      </c>
      <c r="C75" s="25" t="s">
        <v>57</v>
      </c>
      <c r="D75" s="25">
        <v>3</v>
      </c>
      <c r="E75" s="25">
        <v>2</v>
      </c>
      <c r="F75" s="25" t="s">
        <v>102</v>
      </c>
      <c r="G75" s="26">
        <v>1</v>
      </c>
      <c r="H75" s="27">
        <v>2.3148148148148147E-3</v>
      </c>
      <c r="I75" s="17">
        <v>200</v>
      </c>
      <c r="J75" s="28">
        <v>2.5000000000000001E-3</v>
      </c>
      <c r="K75" s="19">
        <v>216</v>
      </c>
      <c r="L75" s="31">
        <v>1.8518518518518537E-4</v>
      </c>
      <c r="M75" s="21">
        <v>16</v>
      </c>
      <c r="N75" s="21">
        <v>13</v>
      </c>
      <c r="O75" s="38">
        <v>48</v>
      </c>
      <c r="P75" s="38">
        <v>21</v>
      </c>
      <c r="Q75" s="42">
        <v>12</v>
      </c>
      <c r="R75" s="44">
        <v>0.4375</v>
      </c>
      <c r="S75" s="44">
        <v>0.25</v>
      </c>
      <c r="T75" s="40">
        <f t="shared" si="2"/>
        <v>624</v>
      </c>
      <c r="U75" s="35" t="s">
        <v>21</v>
      </c>
      <c r="V75" s="35" t="s">
        <v>21</v>
      </c>
      <c r="W75" s="33">
        <v>0</v>
      </c>
      <c r="X75" s="34">
        <v>0</v>
      </c>
      <c r="Y75" s="25" t="s">
        <v>69</v>
      </c>
    </row>
    <row r="76" spans="1:25" x14ac:dyDescent="0.3">
      <c r="A76" s="14">
        <v>44</v>
      </c>
      <c r="B76" s="14">
        <v>4</v>
      </c>
      <c r="C76" s="25" t="s">
        <v>57</v>
      </c>
      <c r="D76" s="25">
        <v>3</v>
      </c>
      <c r="E76" s="25">
        <v>5</v>
      </c>
      <c r="F76" s="25" t="s">
        <v>103</v>
      </c>
      <c r="G76" s="26">
        <v>1</v>
      </c>
      <c r="H76" s="27">
        <v>1.2569444444444444E-2</v>
      </c>
      <c r="I76" s="17">
        <v>1086</v>
      </c>
      <c r="J76" s="28">
        <v>1.2777777777777779E-2</v>
      </c>
      <c r="K76" s="19">
        <v>1104</v>
      </c>
      <c r="L76" s="31">
        <v>2.0833333333333467E-4</v>
      </c>
      <c r="M76" s="21">
        <v>18</v>
      </c>
      <c r="N76" s="21">
        <v>11.4</v>
      </c>
      <c r="O76" s="38">
        <v>28</v>
      </c>
      <c r="P76" s="38">
        <v>11</v>
      </c>
      <c r="Q76" s="42">
        <v>12</v>
      </c>
      <c r="R76" s="44">
        <v>0.39285714285714285</v>
      </c>
      <c r="S76" s="44">
        <v>0.42857142857142855</v>
      </c>
      <c r="T76" s="40">
        <f t="shared" si="2"/>
        <v>319.2</v>
      </c>
      <c r="U76" s="35" t="s">
        <v>21</v>
      </c>
      <c r="V76" s="35" t="s">
        <v>21</v>
      </c>
      <c r="W76" s="33">
        <v>1</v>
      </c>
      <c r="X76" s="34">
        <v>1</v>
      </c>
      <c r="Y76" s="25" t="s">
        <v>69</v>
      </c>
    </row>
    <row r="77" spans="1:25" x14ac:dyDescent="0.3">
      <c r="A77" s="14">
        <v>44</v>
      </c>
      <c r="B77" s="14">
        <v>4</v>
      </c>
      <c r="C77" s="25" t="s">
        <v>64</v>
      </c>
      <c r="D77" s="25">
        <v>1</v>
      </c>
      <c r="E77" s="25">
        <v>2</v>
      </c>
      <c r="F77" s="25" t="s">
        <v>104</v>
      </c>
      <c r="G77" s="26">
        <v>1</v>
      </c>
      <c r="H77" s="27">
        <v>1.5104166666666667E-2</v>
      </c>
      <c r="I77" s="17">
        <v>1305</v>
      </c>
      <c r="J77" s="28">
        <v>1.5173611111111112E-2</v>
      </c>
      <c r="K77" s="19">
        <v>1311</v>
      </c>
      <c r="L77" s="31">
        <v>6.9444444444444892E-5</v>
      </c>
      <c r="M77" s="21">
        <v>6</v>
      </c>
      <c r="N77" s="21">
        <v>10</v>
      </c>
      <c r="O77" s="38">
        <v>47</v>
      </c>
      <c r="P77" s="38">
        <v>15</v>
      </c>
      <c r="Q77" s="42">
        <v>10</v>
      </c>
      <c r="R77" s="44">
        <v>0.31914893617021278</v>
      </c>
      <c r="S77" s="44">
        <v>0.21276595744680851</v>
      </c>
      <c r="T77" s="40">
        <f t="shared" si="2"/>
        <v>470</v>
      </c>
      <c r="U77" s="32" t="s">
        <v>21</v>
      </c>
      <c r="V77" s="32" t="s">
        <v>21</v>
      </c>
      <c r="W77" s="33">
        <v>1</v>
      </c>
      <c r="X77" s="34">
        <v>0</v>
      </c>
      <c r="Y77" s="25" t="s">
        <v>69</v>
      </c>
    </row>
    <row r="78" spans="1:25" x14ac:dyDescent="0.3">
      <c r="A78" s="14">
        <v>44</v>
      </c>
      <c r="B78" s="14">
        <v>4</v>
      </c>
      <c r="C78" s="25" t="s">
        <v>64</v>
      </c>
      <c r="D78" s="25">
        <v>1</v>
      </c>
      <c r="E78" s="25">
        <v>5</v>
      </c>
      <c r="F78" s="25" t="s">
        <v>105</v>
      </c>
      <c r="G78" s="26">
        <v>1</v>
      </c>
      <c r="H78" s="27">
        <v>6.2384259259259259E-3</v>
      </c>
      <c r="I78" s="17">
        <v>539</v>
      </c>
      <c r="J78" s="28">
        <v>6.3773148148148148E-3</v>
      </c>
      <c r="K78" s="19">
        <v>551</v>
      </c>
      <c r="L78" s="31">
        <v>1.3888888888888892E-4</v>
      </c>
      <c r="M78" s="21">
        <v>12</v>
      </c>
      <c r="N78" s="21">
        <v>14.8</v>
      </c>
      <c r="O78" s="38">
        <v>52</v>
      </c>
      <c r="P78" s="38">
        <v>22</v>
      </c>
      <c r="Q78" s="42">
        <v>14</v>
      </c>
      <c r="R78" s="44">
        <v>0.42307692307692307</v>
      </c>
      <c r="S78" s="44">
        <v>0.26923076923076922</v>
      </c>
      <c r="T78" s="40">
        <f t="shared" si="2"/>
        <v>769.6</v>
      </c>
      <c r="U78" s="35" t="s">
        <v>21</v>
      </c>
      <c r="V78" s="35" t="s">
        <v>21</v>
      </c>
      <c r="W78" s="33">
        <v>0</v>
      </c>
      <c r="X78" s="34">
        <v>0</v>
      </c>
      <c r="Y78" s="25" t="s">
        <v>69</v>
      </c>
    </row>
    <row r="79" spans="1:25" x14ac:dyDescent="0.3">
      <c r="A79" s="14">
        <v>44</v>
      </c>
      <c r="B79" s="14">
        <v>4</v>
      </c>
      <c r="C79" s="25" t="s">
        <v>64</v>
      </c>
      <c r="D79" s="25">
        <v>2</v>
      </c>
      <c r="E79" s="25">
        <v>5</v>
      </c>
      <c r="F79" s="25" t="s">
        <v>106</v>
      </c>
      <c r="G79" s="26">
        <v>1</v>
      </c>
      <c r="H79" s="27">
        <v>8.7962962962962962E-4</v>
      </c>
      <c r="I79" s="17">
        <v>76</v>
      </c>
      <c r="J79" s="28">
        <v>9.837962962962962E-4</v>
      </c>
      <c r="K79" s="19">
        <v>85</v>
      </c>
      <c r="L79" s="31">
        <v>1.0416666666666658E-4</v>
      </c>
      <c r="M79" s="21">
        <v>9</v>
      </c>
      <c r="N79" s="21">
        <v>9.4</v>
      </c>
      <c r="O79" s="38">
        <v>67</v>
      </c>
      <c r="P79" s="38">
        <v>45</v>
      </c>
      <c r="Q79" s="42">
        <v>27</v>
      </c>
      <c r="R79" s="44">
        <v>0.67164179104477617</v>
      </c>
      <c r="S79" s="44">
        <v>0.40298507462686567</v>
      </c>
      <c r="T79" s="40">
        <f t="shared" si="2"/>
        <v>629.80000000000007</v>
      </c>
      <c r="U79" s="35" t="s">
        <v>21</v>
      </c>
      <c r="V79" s="35" t="s">
        <v>21</v>
      </c>
      <c r="W79" s="33">
        <v>1</v>
      </c>
      <c r="X79" s="34">
        <v>0</v>
      </c>
      <c r="Y79" s="25" t="s">
        <v>69</v>
      </c>
    </row>
    <row r="80" spans="1:25" x14ac:dyDescent="0.3">
      <c r="A80" s="14">
        <v>44</v>
      </c>
      <c r="B80" s="14">
        <v>4</v>
      </c>
      <c r="C80" s="25" t="s">
        <v>64</v>
      </c>
      <c r="D80" s="25">
        <v>3</v>
      </c>
      <c r="E80" s="25">
        <v>2</v>
      </c>
      <c r="F80" s="25" t="s">
        <v>102</v>
      </c>
      <c r="G80" s="26">
        <v>1</v>
      </c>
      <c r="H80" s="27">
        <v>4.1666666666666666E-3</v>
      </c>
      <c r="I80" s="17">
        <v>360</v>
      </c>
      <c r="J80" s="28">
        <v>4.43287037037037E-3</v>
      </c>
      <c r="K80" s="19">
        <v>383</v>
      </c>
      <c r="L80" s="31">
        <v>2.6620370370370339E-4</v>
      </c>
      <c r="M80" s="21">
        <v>23</v>
      </c>
      <c r="N80" s="21">
        <v>13.4</v>
      </c>
      <c r="O80" s="38">
        <v>70</v>
      </c>
      <c r="P80" s="38">
        <v>17</v>
      </c>
      <c r="Q80" s="42">
        <v>12</v>
      </c>
      <c r="R80" s="44">
        <v>0.24285714285714285</v>
      </c>
      <c r="S80" s="44">
        <v>0.17142857142857143</v>
      </c>
      <c r="T80" s="40">
        <f t="shared" si="2"/>
        <v>938</v>
      </c>
      <c r="U80" s="35" t="s">
        <v>21</v>
      </c>
      <c r="V80" s="35" t="s">
        <v>21</v>
      </c>
      <c r="W80" s="33">
        <v>1</v>
      </c>
      <c r="X80" s="34">
        <v>1</v>
      </c>
      <c r="Y80" s="25" t="s">
        <v>69</v>
      </c>
    </row>
    <row r="81" spans="1:25" x14ac:dyDescent="0.3">
      <c r="A81" s="14">
        <v>44</v>
      </c>
      <c r="B81" s="14">
        <v>4</v>
      </c>
      <c r="C81" s="25" t="s">
        <v>64</v>
      </c>
      <c r="D81" s="25">
        <v>3</v>
      </c>
      <c r="E81" s="25">
        <v>5</v>
      </c>
      <c r="F81" s="25" t="s">
        <v>103</v>
      </c>
      <c r="G81" s="26">
        <v>1</v>
      </c>
      <c r="H81" s="27">
        <v>1.3425925925925925E-3</v>
      </c>
      <c r="I81" s="17">
        <v>116</v>
      </c>
      <c r="J81" s="28">
        <v>1.4930555555555556E-3</v>
      </c>
      <c r="K81" s="19">
        <v>129</v>
      </c>
      <c r="L81" s="31">
        <v>1.5046296296296314E-4</v>
      </c>
      <c r="M81" s="21">
        <v>13</v>
      </c>
      <c r="N81" s="21">
        <v>10.199999999999999</v>
      </c>
      <c r="O81" s="38">
        <v>34</v>
      </c>
      <c r="P81" s="38">
        <v>7</v>
      </c>
      <c r="Q81" s="42">
        <v>11</v>
      </c>
      <c r="R81" s="44">
        <v>0.20588235294117646</v>
      </c>
      <c r="S81" s="44">
        <v>0.3235294117647059</v>
      </c>
      <c r="T81" s="40">
        <f t="shared" si="2"/>
        <v>346.79999999999995</v>
      </c>
      <c r="U81" s="35" t="s">
        <v>21</v>
      </c>
      <c r="V81" s="35" t="s">
        <v>21</v>
      </c>
      <c r="W81" s="33">
        <v>0</v>
      </c>
      <c r="X81" s="34">
        <v>0</v>
      </c>
      <c r="Y81" s="25" t="s">
        <v>69</v>
      </c>
    </row>
    <row r="82" spans="1:25" hidden="1" x14ac:dyDescent="0.3">
      <c r="A82" s="14">
        <v>44</v>
      </c>
      <c r="B82" s="14">
        <v>1</v>
      </c>
      <c r="C82" s="14" t="s">
        <v>19</v>
      </c>
      <c r="D82" s="14">
        <v>1</v>
      </c>
      <c r="E82" s="14">
        <v>3</v>
      </c>
      <c r="F82" s="15" t="s">
        <v>107</v>
      </c>
      <c r="G82" s="26">
        <v>1</v>
      </c>
      <c r="H82" s="16">
        <v>1.5393518518518519E-3</v>
      </c>
      <c r="I82" s="17">
        <v>133</v>
      </c>
      <c r="J82" s="18">
        <v>1.6087962962962963E-3</v>
      </c>
      <c r="K82" s="19">
        <v>139</v>
      </c>
      <c r="L82" s="20">
        <v>6.9444444444444458E-5</v>
      </c>
      <c r="M82" s="21">
        <v>6</v>
      </c>
      <c r="N82" s="21">
        <v>9.8000000000000007</v>
      </c>
      <c r="O82" s="38">
        <v>37</v>
      </c>
      <c r="P82" s="38">
        <v>24</v>
      </c>
      <c r="Q82" s="42">
        <v>8</v>
      </c>
      <c r="R82" s="44">
        <v>0.64864864864864868</v>
      </c>
      <c r="S82" s="44">
        <v>0.21621621621621623</v>
      </c>
      <c r="T82" s="40">
        <f t="shared" si="2"/>
        <v>362.6</v>
      </c>
      <c r="U82" s="22" t="s">
        <v>21</v>
      </c>
      <c r="V82" s="22" t="s">
        <v>21</v>
      </c>
      <c r="W82" s="23">
        <v>1</v>
      </c>
      <c r="X82" s="24">
        <v>0</v>
      </c>
      <c r="Y82" s="25" t="s">
        <v>108</v>
      </c>
    </row>
    <row r="83" spans="1:25" hidden="1" x14ac:dyDescent="0.3">
      <c r="A83" s="14">
        <v>44</v>
      </c>
      <c r="B83" s="14">
        <v>1</v>
      </c>
      <c r="C83" s="14" t="s">
        <v>19</v>
      </c>
      <c r="D83" s="14">
        <v>1</v>
      </c>
      <c r="E83" s="14">
        <v>6</v>
      </c>
      <c r="F83" s="15" t="s">
        <v>109</v>
      </c>
      <c r="G83" s="26">
        <v>1</v>
      </c>
      <c r="H83" s="16">
        <v>3.8194444444444443E-3</v>
      </c>
      <c r="I83" s="17">
        <v>330</v>
      </c>
      <c r="J83" s="18">
        <v>3.9699074074074072E-3</v>
      </c>
      <c r="K83" s="19">
        <v>343</v>
      </c>
      <c r="L83" s="20">
        <v>1.5046296296296292E-4</v>
      </c>
      <c r="M83" s="21">
        <v>13</v>
      </c>
      <c r="N83" s="21">
        <v>11</v>
      </c>
      <c r="O83" s="38">
        <v>80</v>
      </c>
      <c r="P83" s="38">
        <v>0</v>
      </c>
      <c r="Q83" s="42">
        <v>6</v>
      </c>
      <c r="R83" s="44">
        <v>0</v>
      </c>
      <c r="S83" s="44">
        <v>7.4999999999999997E-2</v>
      </c>
      <c r="T83" s="40">
        <f t="shared" si="2"/>
        <v>880</v>
      </c>
      <c r="U83" s="22" t="s">
        <v>21</v>
      </c>
      <c r="V83" s="22" t="s">
        <v>21</v>
      </c>
      <c r="W83" s="23">
        <v>0</v>
      </c>
      <c r="X83" s="24">
        <v>0</v>
      </c>
      <c r="Y83" s="25" t="s">
        <v>108</v>
      </c>
    </row>
    <row r="84" spans="1:25" hidden="1" x14ac:dyDescent="0.3">
      <c r="A84" s="14">
        <v>44</v>
      </c>
      <c r="B84" s="14">
        <v>1</v>
      </c>
      <c r="C84" s="14" t="s">
        <v>19</v>
      </c>
      <c r="D84" s="14">
        <v>2</v>
      </c>
      <c r="E84" s="14">
        <v>3</v>
      </c>
      <c r="F84" s="15" t="s">
        <v>110</v>
      </c>
      <c r="G84" s="26">
        <v>1</v>
      </c>
      <c r="H84" s="16">
        <v>1.6493055555555556E-2</v>
      </c>
      <c r="I84" s="17">
        <v>1425</v>
      </c>
      <c r="J84" s="18">
        <v>1.6666666666666666E-2</v>
      </c>
      <c r="K84" s="19">
        <v>1440</v>
      </c>
      <c r="L84" s="20">
        <v>1.7361111111111049E-4</v>
      </c>
      <c r="M84" s="21">
        <v>15</v>
      </c>
      <c r="N84" s="21">
        <v>13.2</v>
      </c>
      <c r="O84" s="38">
        <v>30</v>
      </c>
      <c r="P84" s="38">
        <v>7</v>
      </c>
      <c r="Q84" s="42">
        <v>5</v>
      </c>
      <c r="R84" s="44">
        <v>0.23333333333333334</v>
      </c>
      <c r="S84" s="44">
        <v>0.16666666666666666</v>
      </c>
      <c r="T84" s="40">
        <f t="shared" si="2"/>
        <v>396</v>
      </c>
      <c r="U84" s="22" t="s">
        <v>21</v>
      </c>
      <c r="V84" s="22" t="s">
        <v>21</v>
      </c>
      <c r="W84" s="23">
        <v>0</v>
      </c>
      <c r="X84" s="24">
        <v>0</v>
      </c>
      <c r="Y84" s="25" t="s">
        <v>108</v>
      </c>
    </row>
    <row r="85" spans="1:25" hidden="1" x14ac:dyDescent="0.3">
      <c r="A85" s="14">
        <v>44</v>
      </c>
      <c r="B85" s="14">
        <v>1</v>
      </c>
      <c r="C85" s="14" t="s">
        <v>19</v>
      </c>
      <c r="D85" s="14">
        <v>2</v>
      </c>
      <c r="E85" s="14">
        <v>6</v>
      </c>
      <c r="F85" s="15" t="s">
        <v>111</v>
      </c>
      <c r="G85" s="26">
        <v>1</v>
      </c>
      <c r="H85" s="16">
        <v>1.8587962962962962E-2</v>
      </c>
      <c r="I85" s="17">
        <v>1606</v>
      </c>
      <c r="J85" s="18">
        <v>1.8680555555555554E-2</v>
      </c>
      <c r="K85" s="19">
        <v>1614</v>
      </c>
      <c r="L85" s="20">
        <v>9.2592592592592032E-5</v>
      </c>
      <c r="M85" s="21">
        <v>8</v>
      </c>
      <c r="N85" s="21">
        <v>11</v>
      </c>
      <c r="O85" s="38">
        <v>41</v>
      </c>
      <c r="P85" s="38">
        <v>10</v>
      </c>
      <c r="Q85" s="42">
        <v>16</v>
      </c>
      <c r="R85" s="44">
        <v>0.24390243902439024</v>
      </c>
      <c r="S85" s="44">
        <v>0.3902439024390244</v>
      </c>
      <c r="T85" s="40">
        <f t="shared" si="2"/>
        <v>451</v>
      </c>
      <c r="U85" s="22" t="s">
        <v>21</v>
      </c>
      <c r="V85" s="22" t="s">
        <v>21</v>
      </c>
      <c r="W85" s="23">
        <v>1</v>
      </c>
      <c r="X85" s="24">
        <v>0</v>
      </c>
      <c r="Y85" s="25" t="s">
        <v>108</v>
      </c>
    </row>
    <row r="86" spans="1:25" hidden="1" x14ac:dyDescent="0.3">
      <c r="A86" s="14">
        <v>44</v>
      </c>
      <c r="B86" s="14">
        <v>1</v>
      </c>
      <c r="C86" s="14" t="s">
        <v>19</v>
      </c>
      <c r="D86" s="14">
        <v>3</v>
      </c>
      <c r="E86" s="14">
        <v>3</v>
      </c>
      <c r="F86" s="15" t="s">
        <v>112</v>
      </c>
      <c r="G86" s="26">
        <v>1</v>
      </c>
      <c r="H86" s="16">
        <v>6.7592592592592591E-3</v>
      </c>
      <c r="I86" s="17">
        <v>584</v>
      </c>
      <c r="J86" s="18">
        <v>6.828703703703704E-3</v>
      </c>
      <c r="K86" s="19">
        <v>590</v>
      </c>
      <c r="L86" s="20">
        <v>6.9444444444444892E-5</v>
      </c>
      <c r="M86" s="21">
        <v>6</v>
      </c>
      <c r="N86" s="21">
        <v>7.2</v>
      </c>
      <c r="O86" s="38">
        <v>58</v>
      </c>
      <c r="P86" s="38">
        <v>7</v>
      </c>
      <c r="Q86" s="42">
        <v>6</v>
      </c>
      <c r="R86" s="44">
        <v>0.1206896551724138</v>
      </c>
      <c r="S86" s="44">
        <v>0.10344827586206896</v>
      </c>
      <c r="T86" s="40">
        <f t="shared" si="2"/>
        <v>417.6</v>
      </c>
      <c r="U86" s="22" t="s">
        <v>21</v>
      </c>
      <c r="V86" s="22" t="s">
        <v>21</v>
      </c>
      <c r="W86" s="23">
        <v>1</v>
      </c>
      <c r="X86" s="24">
        <v>0</v>
      </c>
      <c r="Y86" s="25" t="s">
        <v>108</v>
      </c>
    </row>
    <row r="87" spans="1:25" hidden="1" x14ac:dyDescent="0.3">
      <c r="A87" s="14">
        <v>44</v>
      </c>
      <c r="B87" s="14">
        <v>1</v>
      </c>
      <c r="C87" s="14" t="s">
        <v>19</v>
      </c>
      <c r="D87" s="14">
        <v>3</v>
      </c>
      <c r="E87" s="14">
        <v>6</v>
      </c>
      <c r="F87" s="15" t="s">
        <v>113</v>
      </c>
      <c r="G87" s="26">
        <v>1</v>
      </c>
      <c r="H87" s="16">
        <v>2.1064814814814813E-3</v>
      </c>
      <c r="I87" s="17">
        <v>182</v>
      </c>
      <c r="J87" s="18">
        <v>2.3611111111111111E-3</v>
      </c>
      <c r="K87" s="19">
        <v>204</v>
      </c>
      <c r="L87" s="20">
        <v>2.5462962962962982E-4</v>
      </c>
      <c r="M87" s="21">
        <v>22</v>
      </c>
      <c r="N87" s="21">
        <v>14.6</v>
      </c>
      <c r="O87" s="38">
        <v>62</v>
      </c>
      <c r="P87" s="38">
        <v>21</v>
      </c>
      <c r="Q87" s="42">
        <v>11</v>
      </c>
      <c r="R87" s="44">
        <v>0.33870967741935482</v>
      </c>
      <c r="S87" s="44">
        <v>0.17741935483870969</v>
      </c>
      <c r="T87" s="40">
        <f t="shared" si="2"/>
        <v>905.19999999999993</v>
      </c>
      <c r="U87" s="22" t="s">
        <v>21</v>
      </c>
      <c r="V87" s="22" t="s">
        <v>21</v>
      </c>
      <c r="W87" s="23">
        <v>0</v>
      </c>
      <c r="X87" s="24">
        <v>0</v>
      </c>
      <c r="Y87" s="25" t="s">
        <v>108</v>
      </c>
    </row>
    <row r="88" spans="1:25" hidden="1" x14ac:dyDescent="0.3">
      <c r="A88" s="14">
        <v>44</v>
      </c>
      <c r="B88" s="14">
        <v>1</v>
      </c>
      <c r="C88" s="14" t="s">
        <v>28</v>
      </c>
      <c r="D88" s="14">
        <v>1</v>
      </c>
      <c r="E88" s="14">
        <v>6</v>
      </c>
      <c r="F88" s="15" t="s">
        <v>114</v>
      </c>
      <c r="G88" s="26">
        <v>1</v>
      </c>
      <c r="H88" s="27">
        <v>6.4236111111111108E-3</v>
      </c>
      <c r="I88" s="17">
        <v>555</v>
      </c>
      <c r="J88" s="28">
        <v>6.6666666666666671E-3</v>
      </c>
      <c r="K88" s="19">
        <v>576</v>
      </c>
      <c r="L88" s="20">
        <v>2.4305555555555625E-4</v>
      </c>
      <c r="M88" s="21">
        <v>21</v>
      </c>
      <c r="N88" s="21">
        <v>13.8</v>
      </c>
      <c r="O88" s="38">
        <v>42</v>
      </c>
      <c r="P88" s="38">
        <v>16</v>
      </c>
      <c r="Q88" s="42">
        <v>6</v>
      </c>
      <c r="R88" s="44">
        <v>0.38095238095238093</v>
      </c>
      <c r="S88" s="44">
        <v>0.14285714285714285</v>
      </c>
      <c r="T88" s="40">
        <f t="shared" si="2"/>
        <v>579.6</v>
      </c>
      <c r="U88" s="22" t="s">
        <v>21</v>
      </c>
      <c r="V88" s="22" t="s">
        <v>21</v>
      </c>
      <c r="W88" s="29">
        <v>1</v>
      </c>
      <c r="X88" s="30">
        <v>0</v>
      </c>
      <c r="Y88" s="25" t="s">
        <v>108</v>
      </c>
    </row>
    <row r="89" spans="1:25" hidden="1" x14ac:dyDescent="0.3">
      <c r="A89" s="14">
        <v>44</v>
      </c>
      <c r="B89" s="14">
        <v>1</v>
      </c>
      <c r="C89" s="14" t="s">
        <v>28</v>
      </c>
      <c r="D89" s="14">
        <v>2</v>
      </c>
      <c r="E89" s="14">
        <v>3</v>
      </c>
      <c r="F89" s="15" t="s">
        <v>115</v>
      </c>
      <c r="G89" s="26">
        <v>1</v>
      </c>
      <c r="H89" s="27">
        <v>4.7222222222222223E-3</v>
      </c>
      <c r="I89" s="17">
        <v>408</v>
      </c>
      <c r="J89" s="28">
        <v>4.8263888888888887E-3</v>
      </c>
      <c r="K89" s="19">
        <v>417</v>
      </c>
      <c r="L89" s="20">
        <v>1.0416666666666647E-4</v>
      </c>
      <c r="M89" s="21">
        <v>9</v>
      </c>
      <c r="N89" s="21">
        <v>13.6</v>
      </c>
      <c r="O89" s="38">
        <v>62</v>
      </c>
      <c r="P89" s="38">
        <v>21</v>
      </c>
      <c r="Q89" s="42">
        <v>24</v>
      </c>
      <c r="R89" s="44">
        <v>0.33870967741935482</v>
      </c>
      <c r="S89" s="44">
        <v>0.38709677419354838</v>
      </c>
      <c r="T89" s="40">
        <f t="shared" si="2"/>
        <v>843.19999999999993</v>
      </c>
      <c r="U89" s="22" t="s">
        <v>21</v>
      </c>
      <c r="V89" s="22" t="s">
        <v>21</v>
      </c>
      <c r="W89" s="29">
        <v>1</v>
      </c>
      <c r="X89" s="30">
        <v>1</v>
      </c>
      <c r="Y89" s="25" t="s">
        <v>108</v>
      </c>
    </row>
    <row r="90" spans="1:25" hidden="1" x14ac:dyDescent="0.3">
      <c r="A90" s="14">
        <v>44</v>
      </c>
      <c r="B90" s="14">
        <v>1</v>
      </c>
      <c r="C90" s="14" t="s">
        <v>28</v>
      </c>
      <c r="D90" s="14">
        <v>2</v>
      </c>
      <c r="E90" s="14">
        <v>6</v>
      </c>
      <c r="F90" s="15" t="s">
        <v>116</v>
      </c>
      <c r="G90" s="26">
        <v>1</v>
      </c>
      <c r="H90" s="27">
        <v>2.8738425925925924E-2</v>
      </c>
      <c r="I90" s="17">
        <v>2483</v>
      </c>
      <c r="J90" s="28">
        <v>2.8923611111111112E-2</v>
      </c>
      <c r="K90" s="19">
        <v>2499</v>
      </c>
      <c r="L90" s="20">
        <v>1.8518518518518753E-4</v>
      </c>
      <c r="M90" s="21">
        <v>16</v>
      </c>
      <c r="N90" s="21">
        <v>12</v>
      </c>
      <c r="O90" s="38">
        <v>23</v>
      </c>
      <c r="P90" s="38">
        <v>0</v>
      </c>
      <c r="Q90" s="42">
        <v>10</v>
      </c>
      <c r="R90" s="44">
        <v>0</v>
      </c>
      <c r="S90" s="44">
        <v>0.43478260869565216</v>
      </c>
      <c r="T90" s="40">
        <f t="shared" si="2"/>
        <v>276</v>
      </c>
      <c r="U90" s="22" t="s">
        <v>21</v>
      </c>
      <c r="V90" s="22" t="s">
        <v>21</v>
      </c>
      <c r="W90" s="29">
        <v>0</v>
      </c>
      <c r="X90" s="30">
        <v>0</v>
      </c>
      <c r="Y90" s="25" t="s">
        <v>108</v>
      </c>
    </row>
    <row r="91" spans="1:25" hidden="1" x14ac:dyDescent="0.3">
      <c r="A91" s="14">
        <v>44</v>
      </c>
      <c r="B91" s="14">
        <v>1</v>
      </c>
      <c r="C91" s="14" t="s">
        <v>28</v>
      </c>
      <c r="D91" s="14">
        <v>3</v>
      </c>
      <c r="E91" s="14">
        <v>3</v>
      </c>
      <c r="F91" s="15" t="s">
        <v>117</v>
      </c>
      <c r="G91" s="26">
        <v>1</v>
      </c>
      <c r="H91" s="27">
        <v>8.6342592592592599E-3</v>
      </c>
      <c r="I91" s="17">
        <v>746</v>
      </c>
      <c r="J91" s="28">
        <v>8.7615740740740744E-3</v>
      </c>
      <c r="K91" s="19">
        <v>757</v>
      </c>
      <c r="L91" s="20">
        <v>1.2731481481481448E-4</v>
      </c>
      <c r="M91" s="21">
        <v>11</v>
      </c>
      <c r="N91" s="21">
        <v>11</v>
      </c>
      <c r="O91" s="38">
        <v>47</v>
      </c>
      <c r="P91" s="38">
        <v>15</v>
      </c>
      <c r="Q91" s="42">
        <v>11</v>
      </c>
      <c r="R91" s="44">
        <v>0.31914893617021278</v>
      </c>
      <c r="S91" s="44">
        <v>0.23404255319148937</v>
      </c>
      <c r="T91" s="40">
        <f t="shared" si="2"/>
        <v>517</v>
      </c>
      <c r="U91" s="22" t="s">
        <v>21</v>
      </c>
      <c r="V91" s="22" t="s">
        <v>21</v>
      </c>
      <c r="W91" s="29">
        <v>0</v>
      </c>
      <c r="X91" s="30">
        <v>0</v>
      </c>
      <c r="Y91" s="25" t="s">
        <v>108</v>
      </c>
    </row>
    <row r="92" spans="1:25" hidden="1" x14ac:dyDescent="0.3">
      <c r="A92" s="14">
        <v>44</v>
      </c>
      <c r="B92" s="14">
        <v>1</v>
      </c>
      <c r="C92" s="14" t="s">
        <v>28</v>
      </c>
      <c r="D92" s="14">
        <v>3</v>
      </c>
      <c r="E92" s="14">
        <v>6</v>
      </c>
      <c r="F92" s="15" t="s">
        <v>118</v>
      </c>
      <c r="G92" s="26">
        <v>1</v>
      </c>
      <c r="H92" s="27">
        <v>7.083333333333333E-3</v>
      </c>
      <c r="I92" s="17">
        <v>612</v>
      </c>
      <c r="J92" s="28">
        <v>7.1990740740740739E-3</v>
      </c>
      <c r="K92" s="19">
        <v>622</v>
      </c>
      <c r="L92" s="20">
        <v>1.1574074074074091E-4</v>
      </c>
      <c r="M92" s="21">
        <v>10</v>
      </c>
      <c r="N92" s="21">
        <v>11.4</v>
      </c>
      <c r="O92" s="38">
        <v>43</v>
      </c>
      <c r="P92" s="38">
        <v>22</v>
      </c>
      <c r="Q92" s="42">
        <v>18</v>
      </c>
      <c r="R92" s="44">
        <v>0.51162790697674421</v>
      </c>
      <c r="S92" s="44">
        <v>0.41860465116279072</v>
      </c>
      <c r="T92" s="40">
        <f t="shared" si="2"/>
        <v>490.2</v>
      </c>
      <c r="U92" s="22" t="s">
        <v>21</v>
      </c>
      <c r="V92" s="22" t="s">
        <v>21</v>
      </c>
      <c r="W92" s="29">
        <v>0</v>
      </c>
      <c r="X92" s="30">
        <v>0</v>
      </c>
      <c r="Y92" s="25" t="s">
        <v>108</v>
      </c>
    </row>
    <row r="93" spans="1:25" hidden="1" x14ac:dyDescent="0.3">
      <c r="A93" s="14">
        <v>44</v>
      </c>
      <c r="B93" s="14">
        <v>2</v>
      </c>
      <c r="C93" s="14" t="s">
        <v>33</v>
      </c>
      <c r="D93" s="14">
        <v>1</v>
      </c>
      <c r="E93" s="14">
        <v>3</v>
      </c>
      <c r="F93" s="15" t="s">
        <v>119</v>
      </c>
      <c r="G93" s="26">
        <v>1</v>
      </c>
      <c r="H93" s="27">
        <v>1.9097222222222222E-3</v>
      </c>
      <c r="I93" s="17">
        <v>165</v>
      </c>
      <c r="J93" s="28">
        <v>2.0254629629629629E-3</v>
      </c>
      <c r="K93" s="19">
        <v>175</v>
      </c>
      <c r="L93" s="20">
        <v>1.1574074074074069E-4</v>
      </c>
      <c r="M93" s="21">
        <v>10</v>
      </c>
      <c r="N93" s="21">
        <v>12.8</v>
      </c>
      <c r="O93" s="38">
        <v>50</v>
      </c>
      <c r="P93" s="38">
        <v>29</v>
      </c>
      <c r="Q93" s="42">
        <v>15</v>
      </c>
      <c r="R93" s="44">
        <v>0.57999999999999996</v>
      </c>
      <c r="S93" s="44">
        <v>0.3</v>
      </c>
      <c r="T93" s="40">
        <f t="shared" si="2"/>
        <v>640</v>
      </c>
      <c r="U93" s="22" t="s">
        <v>21</v>
      </c>
      <c r="V93" s="22" t="s">
        <v>21</v>
      </c>
      <c r="W93" s="29">
        <v>1</v>
      </c>
      <c r="X93" s="30">
        <v>0</v>
      </c>
      <c r="Y93" s="25" t="s">
        <v>108</v>
      </c>
    </row>
    <row r="94" spans="1:25" hidden="1" x14ac:dyDescent="0.3">
      <c r="A94" s="14">
        <v>44</v>
      </c>
      <c r="B94" s="14">
        <v>2</v>
      </c>
      <c r="C94" s="14" t="s">
        <v>33</v>
      </c>
      <c r="D94" s="14">
        <v>1</v>
      </c>
      <c r="E94" s="14">
        <v>6</v>
      </c>
      <c r="F94" s="15" t="s">
        <v>120</v>
      </c>
      <c r="G94" s="26">
        <v>1</v>
      </c>
      <c r="H94" s="27">
        <v>5.37037037037037E-3</v>
      </c>
      <c r="I94" s="17">
        <v>464</v>
      </c>
      <c r="J94" s="28">
        <v>5.5439814814814813E-3</v>
      </c>
      <c r="K94" s="19">
        <v>479</v>
      </c>
      <c r="L94" s="20">
        <v>1.7361111111111136E-4</v>
      </c>
      <c r="M94" s="21">
        <v>15</v>
      </c>
      <c r="N94" s="21">
        <v>14.2</v>
      </c>
      <c r="O94" s="38">
        <v>31</v>
      </c>
      <c r="P94" s="38">
        <v>8</v>
      </c>
      <c r="Q94" s="42">
        <v>6</v>
      </c>
      <c r="R94" s="44">
        <v>0.25806451612903225</v>
      </c>
      <c r="S94" s="44">
        <v>0.19354838709677419</v>
      </c>
      <c r="T94" s="40">
        <f t="shared" si="2"/>
        <v>440.2</v>
      </c>
      <c r="U94" s="22" t="s">
        <v>21</v>
      </c>
      <c r="V94" s="22" t="s">
        <v>21</v>
      </c>
      <c r="W94" s="29">
        <v>0</v>
      </c>
      <c r="X94" s="30">
        <v>0</v>
      </c>
      <c r="Y94" s="25" t="s">
        <v>108</v>
      </c>
    </row>
    <row r="95" spans="1:25" hidden="1" x14ac:dyDescent="0.3">
      <c r="A95" s="14">
        <v>44</v>
      </c>
      <c r="B95" s="14">
        <v>2</v>
      </c>
      <c r="C95" s="14" t="s">
        <v>33</v>
      </c>
      <c r="D95" s="14">
        <v>2</v>
      </c>
      <c r="E95" s="14">
        <v>3</v>
      </c>
      <c r="F95" s="15" t="s">
        <v>121</v>
      </c>
      <c r="G95" s="26">
        <v>1</v>
      </c>
      <c r="H95" s="27">
        <v>7.3611111111111108E-3</v>
      </c>
      <c r="I95" s="17">
        <v>636</v>
      </c>
      <c r="J95" s="28">
        <v>7.4652777777777781E-3</v>
      </c>
      <c r="K95" s="19">
        <v>645</v>
      </c>
      <c r="L95" s="20">
        <v>1.0416666666666734E-4</v>
      </c>
      <c r="M95" s="21">
        <v>9</v>
      </c>
      <c r="N95" s="21">
        <v>9.6</v>
      </c>
      <c r="O95" s="38">
        <v>51</v>
      </c>
      <c r="P95" s="38">
        <v>26</v>
      </c>
      <c r="Q95" s="42">
        <v>13</v>
      </c>
      <c r="R95" s="44">
        <v>0.50980392156862742</v>
      </c>
      <c r="S95" s="44">
        <v>0.25490196078431371</v>
      </c>
      <c r="T95" s="40">
        <f t="shared" si="2"/>
        <v>489.59999999999997</v>
      </c>
      <c r="U95" s="22" t="s">
        <v>21</v>
      </c>
      <c r="V95" s="22" t="s">
        <v>21</v>
      </c>
      <c r="W95" s="29">
        <v>1</v>
      </c>
      <c r="X95" s="30">
        <v>1</v>
      </c>
      <c r="Y95" s="25" t="s">
        <v>108</v>
      </c>
    </row>
    <row r="96" spans="1:25" hidden="1" x14ac:dyDescent="0.3">
      <c r="A96" s="14">
        <v>44</v>
      </c>
      <c r="B96" s="14">
        <v>2</v>
      </c>
      <c r="C96" s="14" t="s">
        <v>33</v>
      </c>
      <c r="D96" s="14">
        <v>2</v>
      </c>
      <c r="E96" s="14">
        <v>6</v>
      </c>
      <c r="F96" s="15" t="s">
        <v>122</v>
      </c>
      <c r="G96" s="26">
        <v>1</v>
      </c>
      <c r="H96" s="27">
        <v>3.3703703703703701E-2</v>
      </c>
      <c r="I96" s="17">
        <v>2912</v>
      </c>
      <c r="J96" s="28">
        <v>3.3912037037037039E-2</v>
      </c>
      <c r="K96" s="19">
        <v>2930</v>
      </c>
      <c r="L96" s="20">
        <v>2.0833333333333814E-4</v>
      </c>
      <c r="M96" s="21">
        <v>18</v>
      </c>
      <c r="N96" s="21">
        <v>13</v>
      </c>
      <c r="O96" s="38">
        <v>15</v>
      </c>
      <c r="P96" s="38">
        <v>1</v>
      </c>
      <c r="Q96" s="42">
        <v>1</v>
      </c>
      <c r="R96" s="44">
        <v>6.6666666666666666E-2</v>
      </c>
      <c r="S96" s="44">
        <v>6.6666666666666666E-2</v>
      </c>
      <c r="T96" s="40">
        <f t="shared" si="2"/>
        <v>195</v>
      </c>
      <c r="U96" s="22" t="s">
        <v>21</v>
      </c>
      <c r="V96" s="22" t="s">
        <v>21</v>
      </c>
      <c r="W96" s="29">
        <v>0</v>
      </c>
      <c r="X96" s="30">
        <v>0</v>
      </c>
      <c r="Y96" s="25" t="s">
        <v>108</v>
      </c>
    </row>
    <row r="97" spans="1:25" hidden="1" x14ac:dyDescent="0.3">
      <c r="A97" s="14">
        <v>44</v>
      </c>
      <c r="B97" s="14">
        <v>2</v>
      </c>
      <c r="C97" s="14" t="s">
        <v>33</v>
      </c>
      <c r="D97" s="14">
        <v>3</v>
      </c>
      <c r="E97" s="14">
        <v>3</v>
      </c>
      <c r="F97" s="15" t="s">
        <v>123</v>
      </c>
      <c r="G97" s="26">
        <v>1</v>
      </c>
      <c r="H97" s="27">
        <v>3.2638888888888891E-3</v>
      </c>
      <c r="I97" s="17">
        <v>282</v>
      </c>
      <c r="J97" s="28">
        <v>3.449074074074074E-3</v>
      </c>
      <c r="K97" s="19">
        <v>298</v>
      </c>
      <c r="L97" s="20">
        <v>1.8518518518518493E-4</v>
      </c>
      <c r="M97" s="21">
        <v>16</v>
      </c>
      <c r="N97" s="21">
        <v>10.8</v>
      </c>
      <c r="O97" s="38">
        <v>76</v>
      </c>
      <c r="P97" s="38">
        <v>38</v>
      </c>
      <c r="Q97" s="42">
        <v>20</v>
      </c>
      <c r="R97" s="44">
        <v>0.5</v>
      </c>
      <c r="S97" s="44">
        <v>0.26315789473684209</v>
      </c>
      <c r="T97" s="40">
        <f t="shared" si="2"/>
        <v>820.80000000000007</v>
      </c>
      <c r="U97" s="22" t="s">
        <v>21</v>
      </c>
      <c r="V97" s="22" t="s">
        <v>21</v>
      </c>
      <c r="W97" s="29">
        <v>1</v>
      </c>
      <c r="X97" s="30">
        <v>0</v>
      </c>
      <c r="Y97" s="25" t="s">
        <v>108</v>
      </c>
    </row>
    <row r="98" spans="1:25" hidden="1" x14ac:dyDescent="0.3">
      <c r="A98" s="14">
        <v>44</v>
      </c>
      <c r="B98" s="14">
        <v>2</v>
      </c>
      <c r="C98" s="14" t="s">
        <v>33</v>
      </c>
      <c r="D98" s="14">
        <v>3</v>
      </c>
      <c r="E98" s="14">
        <v>6</v>
      </c>
      <c r="F98" s="15" t="s">
        <v>124</v>
      </c>
      <c r="G98" s="26">
        <v>1</v>
      </c>
      <c r="H98" s="27">
        <v>6.1574074074074074E-3</v>
      </c>
      <c r="I98" s="17">
        <v>532</v>
      </c>
      <c r="J98" s="28">
        <v>6.3078703703703708E-3</v>
      </c>
      <c r="K98" s="19">
        <v>545</v>
      </c>
      <c r="L98" s="20">
        <v>1.5046296296296335E-4</v>
      </c>
      <c r="M98" s="21">
        <v>13</v>
      </c>
      <c r="N98" s="21">
        <v>11</v>
      </c>
      <c r="O98" s="38">
        <v>48</v>
      </c>
      <c r="P98" s="38">
        <v>23</v>
      </c>
      <c r="Q98" s="42">
        <v>7</v>
      </c>
      <c r="R98" s="44">
        <v>0.47916666666666669</v>
      </c>
      <c r="S98" s="44">
        <v>0.14583333333333334</v>
      </c>
      <c r="T98" s="40">
        <f t="shared" ref="T98:T122" si="3">O98*N98</f>
        <v>528</v>
      </c>
      <c r="U98" s="22" t="s">
        <v>21</v>
      </c>
      <c r="V98" s="22" t="s">
        <v>21</v>
      </c>
      <c r="W98" s="29">
        <v>0</v>
      </c>
      <c r="X98" s="30">
        <v>0</v>
      </c>
      <c r="Y98" s="25" t="s">
        <v>108</v>
      </c>
    </row>
    <row r="99" spans="1:25" hidden="1" x14ac:dyDescent="0.3">
      <c r="A99" s="14">
        <v>44</v>
      </c>
      <c r="B99" s="14">
        <v>2</v>
      </c>
      <c r="C99" s="14" t="s">
        <v>39</v>
      </c>
      <c r="D99" s="14">
        <v>1</v>
      </c>
      <c r="E99" s="14">
        <v>3</v>
      </c>
      <c r="F99" s="15" t="s">
        <v>125</v>
      </c>
      <c r="G99" s="26">
        <v>1</v>
      </c>
      <c r="H99" s="27">
        <v>5.9606481481481481E-3</v>
      </c>
      <c r="I99" s="17">
        <v>515</v>
      </c>
      <c r="J99" s="28">
        <v>6.1342592592592594E-3</v>
      </c>
      <c r="K99" s="19">
        <v>530</v>
      </c>
      <c r="L99" s="20">
        <v>1.7361111111111136E-4</v>
      </c>
      <c r="M99" s="21">
        <v>15</v>
      </c>
      <c r="N99" s="21">
        <v>11.6</v>
      </c>
      <c r="O99" s="38">
        <v>49</v>
      </c>
      <c r="P99" s="38">
        <v>25</v>
      </c>
      <c r="Q99" s="42">
        <v>11</v>
      </c>
      <c r="R99" s="44">
        <v>0.51020408163265307</v>
      </c>
      <c r="S99" s="44">
        <v>0.22448979591836735</v>
      </c>
      <c r="T99" s="40">
        <f t="shared" si="3"/>
        <v>568.4</v>
      </c>
      <c r="U99" s="22" t="s">
        <v>21</v>
      </c>
      <c r="V99" s="22" t="s">
        <v>21</v>
      </c>
      <c r="W99" s="29">
        <v>0</v>
      </c>
      <c r="X99" s="30">
        <v>0</v>
      </c>
      <c r="Y99" s="25" t="s">
        <v>108</v>
      </c>
    </row>
    <row r="100" spans="1:25" hidden="1" x14ac:dyDescent="0.3">
      <c r="A100" s="14">
        <v>44</v>
      </c>
      <c r="B100" s="14">
        <v>2</v>
      </c>
      <c r="C100" s="14" t="s">
        <v>39</v>
      </c>
      <c r="D100" s="14">
        <v>1</v>
      </c>
      <c r="E100" s="14">
        <v>6</v>
      </c>
      <c r="F100" s="15" t="s">
        <v>126</v>
      </c>
      <c r="G100" s="26">
        <v>1</v>
      </c>
      <c r="H100" s="27">
        <v>4.0046296296296297E-3</v>
      </c>
      <c r="I100" s="17">
        <v>346</v>
      </c>
      <c r="J100" s="28">
        <v>4.1666666666666666E-3</v>
      </c>
      <c r="K100" s="19">
        <v>360</v>
      </c>
      <c r="L100" s="20">
        <v>1.6203703703703692E-4</v>
      </c>
      <c r="M100" s="21">
        <v>14</v>
      </c>
      <c r="N100" s="21">
        <v>15.2</v>
      </c>
      <c r="O100" s="38">
        <v>35</v>
      </c>
      <c r="P100" s="38">
        <v>9</v>
      </c>
      <c r="Q100" s="42">
        <v>4</v>
      </c>
      <c r="R100" s="44">
        <v>0.25714285714285712</v>
      </c>
      <c r="S100" s="44">
        <v>0.11428571428571428</v>
      </c>
      <c r="T100" s="40">
        <f t="shared" si="3"/>
        <v>532</v>
      </c>
      <c r="U100" s="22" t="s">
        <v>21</v>
      </c>
      <c r="V100" s="22" t="s">
        <v>21</v>
      </c>
      <c r="W100" s="29">
        <v>0</v>
      </c>
      <c r="X100" s="30">
        <v>0</v>
      </c>
      <c r="Y100" s="25" t="s">
        <v>108</v>
      </c>
    </row>
    <row r="101" spans="1:25" hidden="1" x14ac:dyDescent="0.3">
      <c r="A101" s="14">
        <v>44</v>
      </c>
      <c r="B101" s="14">
        <v>2</v>
      </c>
      <c r="C101" s="14" t="s">
        <v>39</v>
      </c>
      <c r="D101" s="14">
        <v>2</v>
      </c>
      <c r="E101" s="14">
        <v>3</v>
      </c>
      <c r="F101" s="15" t="s">
        <v>127</v>
      </c>
      <c r="G101" s="26">
        <v>1</v>
      </c>
      <c r="H101" s="27">
        <v>1.5162037037037036E-3</v>
      </c>
      <c r="I101" s="17">
        <v>131</v>
      </c>
      <c r="J101" s="28">
        <v>1.6319444444444445E-3</v>
      </c>
      <c r="K101" s="19">
        <v>141</v>
      </c>
      <c r="L101" s="20">
        <v>1.1574074074074091E-4</v>
      </c>
      <c r="M101" s="21">
        <v>10</v>
      </c>
      <c r="N101" s="21">
        <v>13.6</v>
      </c>
      <c r="O101" s="38">
        <v>63</v>
      </c>
      <c r="P101" s="38">
        <v>39</v>
      </c>
      <c r="Q101" s="42">
        <v>19</v>
      </c>
      <c r="R101" s="44">
        <v>0.61904761904761907</v>
      </c>
      <c r="S101" s="44">
        <v>0.30158730158730157</v>
      </c>
      <c r="T101" s="40">
        <f t="shared" si="3"/>
        <v>856.8</v>
      </c>
      <c r="U101" s="22" t="s">
        <v>21</v>
      </c>
      <c r="V101" s="22" t="s">
        <v>21</v>
      </c>
      <c r="W101" s="29">
        <v>0</v>
      </c>
      <c r="X101" s="30">
        <v>0</v>
      </c>
      <c r="Y101" s="25" t="s">
        <v>108</v>
      </c>
    </row>
    <row r="102" spans="1:25" hidden="1" x14ac:dyDescent="0.3">
      <c r="A102" s="14">
        <v>44</v>
      </c>
      <c r="B102" s="14">
        <v>2</v>
      </c>
      <c r="C102" s="14" t="s">
        <v>39</v>
      </c>
      <c r="D102" s="14">
        <v>2</v>
      </c>
      <c r="E102" s="14">
        <v>6</v>
      </c>
      <c r="F102" s="15" t="s">
        <v>128</v>
      </c>
      <c r="G102" s="26">
        <v>1</v>
      </c>
      <c r="H102" s="27">
        <v>6.9791666666666665E-3</v>
      </c>
      <c r="I102" s="17">
        <v>603</v>
      </c>
      <c r="J102" s="28">
        <v>7.2453703703703708E-3</v>
      </c>
      <c r="K102" s="19">
        <v>626</v>
      </c>
      <c r="L102" s="20">
        <v>2.6620370370370426E-4</v>
      </c>
      <c r="M102" s="21">
        <v>23</v>
      </c>
      <c r="N102" s="21">
        <v>12.2</v>
      </c>
      <c r="O102" s="38">
        <v>54</v>
      </c>
      <c r="P102" s="38">
        <v>2</v>
      </c>
      <c r="Q102" s="42">
        <v>8</v>
      </c>
      <c r="R102" s="44">
        <v>3.7037037037037035E-2</v>
      </c>
      <c r="S102" s="44">
        <v>0.14814814814814814</v>
      </c>
      <c r="T102" s="40">
        <f t="shared" si="3"/>
        <v>658.8</v>
      </c>
      <c r="U102" s="22" t="s">
        <v>21</v>
      </c>
      <c r="V102" s="22" t="s">
        <v>21</v>
      </c>
      <c r="W102" s="29">
        <v>0</v>
      </c>
      <c r="X102" s="30">
        <v>1</v>
      </c>
      <c r="Y102" s="25" t="s">
        <v>108</v>
      </c>
    </row>
    <row r="103" spans="1:25" hidden="1" x14ac:dyDescent="0.3">
      <c r="A103" s="14">
        <v>44</v>
      </c>
      <c r="B103" s="14">
        <v>2</v>
      </c>
      <c r="C103" s="14" t="s">
        <v>39</v>
      </c>
      <c r="D103" s="14">
        <v>3</v>
      </c>
      <c r="E103" s="14">
        <v>3</v>
      </c>
      <c r="F103" s="15" t="s">
        <v>129</v>
      </c>
      <c r="G103" s="26">
        <v>1</v>
      </c>
      <c r="H103" s="27">
        <v>6.7708333333333336E-3</v>
      </c>
      <c r="I103" s="17">
        <v>585</v>
      </c>
      <c r="J103" s="28">
        <v>6.8402777777777776E-3</v>
      </c>
      <c r="K103" s="19">
        <v>591</v>
      </c>
      <c r="L103" s="20">
        <v>6.9444444444444024E-5</v>
      </c>
      <c r="M103" s="21">
        <v>6</v>
      </c>
      <c r="N103" s="21">
        <v>9.6</v>
      </c>
      <c r="O103" s="38">
        <v>21</v>
      </c>
      <c r="P103" s="38">
        <v>2</v>
      </c>
      <c r="Q103" s="42">
        <v>11</v>
      </c>
      <c r="R103" s="44">
        <v>9.5238095238095233E-2</v>
      </c>
      <c r="S103" s="44">
        <v>0.52380952380952384</v>
      </c>
      <c r="T103" s="40">
        <f t="shared" si="3"/>
        <v>201.6</v>
      </c>
      <c r="U103" s="22" t="s">
        <v>21</v>
      </c>
      <c r="V103" s="22" t="s">
        <v>21</v>
      </c>
      <c r="W103" s="29">
        <v>1</v>
      </c>
      <c r="X103" s="30">
        <v>1</v>
      </c>
      <c r="Y103" s="25" t="s">
        <v>108</v>
      </c>
    </row>
    <row r="104" spans="1:25" hidden="1" x14ac:dyDescent="0.3">
      <c r="A104" s="14">
        <v>44</v>
      </c>
      <c r="B104" s="14">
        <v>3</v>
      </c>
      <c r="C104" s="14" t="s">
        <v>46</v>
      </c>
      <c r="D104" s="14">
        <v>2</v>
      </c>
      <c r="E104" s="14">
        <v>3</v>
      </c>
      <c r="F104" s="15" t="s">
        <v>130</v>
      </c>
      <c r="G104" s="26">
        <v>1</v>
      </c>
      <c r="H104" s="27">
        <v>8.5300925925925926E-3</v>
      </c>
      <c r="I104" s="17">
        <v>737</v>
      </c>
      <c r="J104" s="28">
        <v>8.6921296296296295E-3</v>
      </c>
      <c r="K104" s="19">
        <v>751</v>
      </c>
      <c r="L104" s="20">
        <v>1.6203703703703692E-4</v>
      </c>
      <c r="M104" s="21">
        <v>14</v>
      </c>
      <c r="N104" s="21">
        <v>16.8</v>
      </c>
      <c r="O104" s="38">
        <v>38</v>
      </c>
      <c r="P104" s="38">
        <v>2</v>
      </c>
      <c r="Q104" s="42">
        <v>4</v>
      </c>
      <c r="R104" s="44">
        <v>5.2631578947368418E-2</v>
      </c>
      <c r="S104" s="44">
        <v>0.10526315789473684</v>
      </c>
      <c r="T104" s="40">
        <f t="shared" si="3"/>
        <v>638.4</v>
      </c>
      <c r="U104" s="22" t="s">
        <v>21</v>
      </c>
      <c r="V104" s="22" t="s">
        <v>21</v>
      </c>
      <c r="W104" s="29">
        <v>0</v>
      </c>
      <c r="X104" s="30">
        <v>0</v>
      </c>
      <c r="Y104" s="25" t="s">
        <v>108</v>
      </c>
    </row>
    <row r="105" spans="1:25" hidden="1" x14ac:dyDescent="0.3">
      <c r="A105" s="14">
        <v>44</v>
      </c>
      <c r="B105" s="14">
        <v>3</v>
      </c>
      <c r="C105" s="14" t="s">
        <v>46</v>
      </c>
      <c r="D105" s="14">
        <v>2</v>
      </c>
      <c r="E105" s="14">
        <v>6</v>
      </c>
      <c r="F105" s="15" t="s">
        <v>131</v>
      </c>
      <c r="G105" s="26">
        <v>1</v>
      </c>
      <c r="H105" s="27">
        <v>4.7800925925925927E-3</v>
      </c>
      <c r="I105" s="17">
        <v>413</v>
      </c>
      <c r="J105" s="28">
        <v>4.8263888888888887E-3</v>
      </c>
      <c r="K105" s="19">
        <v>417</v>
      </c>
      <c r="L105" s="20">
        <v>4.6296296296296016E-5</v>
      </c>
      <c r="M105" s="21">
        <v>4</v>
      </c>
      <c r="N105" s="21">
        <v>11.2</v>
      </c>
      <c r="O105" s="38">
        <v>30</v>
      </c>
      <c r="P105" s="38">
        <v>10</v>
      </c>
      <c r="Q105" s="42">
        <v>8</v>
      </c>
      <c r="R105" s="44">
        <v>0.33333333333333331</v>
      </c>
      <c r="S105" s="44">
        <v>0.26666666666666666</v>
      </c>
      <c r="T105" s="40">
        <f t="shared" si="3"/>
        <v>336</v>
      </c>
      <c r="U105" s="22" t="s">
        <v>21</v>
      </c>
      <c r="V105" s="22" t="s">
        <v>21</v>
      </c>
      <c r="W105" s="29">
        <v>1</v>
      </c>
      <c r="X105" s="30">
        <v>0</v>
      </c>
      <c r="Y105" s="25" t="s">
        <v>108</v>
      </c>
    </row>
    <row r="106" spans="1:25" hidden="1" x14ac:dyDescent="0.3">
      <c r="A106" s="14">
        <v>44</v>
      </c>
      <c r="B106" s="14">
        <v>3</v>
      </c>
      <c r="C106" s="14" t="s">
        <v>46</v>
      </c>
      <c r="D106" s="14">
        <v>3</v>
      </c>
      <c r="E106" s="14">
        <v>3</v>
      </c>
      <c r="F106" s="15" t="s">
        <v>132</v>
      </c>
      <c r="G106" s="26">
        <v>1</v>
      </c>
      <c r="H106" s="27">
        <v>1.6331018518518519E-2</v>
      </c>
      <c r="I106" s="17">
        <v>1411</v>
      </c>
      <c r="J106" s="28">
        <v>1.6446759259259258E-2</v>
      </c>
      <c r="K106" s="19">
        <v>1421</v>
      </c>
      <c r="L106" s="20">
        <v>1.1574074074073917E-4</v>
      </c>
      <c r="M106" s="21">
        <v>10</v>
      </c>
      <c r="N106" s="21">
        <v>13.4</v>
      </c>
      <c r="O106" s="38">
        <v>31</v>
      </c>
      <c r="P106" s="38">
        <v>8</v>
      </c>
      <c r="Q106" s="42">
        <v>14</v>
      </c>
      <c r="R106" s="44">
        <v>0.25806451612903225</v>
      </c>
      <c r="S106" s="44">
        <v>0.45161290322580644</v>
      </c>
      <c r="T106" s="40">
        <f t="shared" si="3"/>
        <v>415.40000000000003</v>
      </c>
      <c r="U106" s="22" t="s">
        <v>21</v>
      </c>
      <c r="V106" s="22" t="s">
        <v>21</v>
      </c>
      <c r="W106" s="29">
        <v>1</v>
      </c>
      <c r="X106" s="30">
        <v>1</v>
      </c>
      <c r="Y106" s="25" t="s">
        <v>108</v>
      </c>
    </row>
    <row r="107" spans="1:25" hidden="1" x14ac:dyDescent="0.3">
      <c r="A107" s="14">
        <v>44</v>
      </c>
      <c r="B107" s="14">
        <v>3</v>
      </c>
      <c r="C107" s="14" t="s">
        <v>46</v>
      </c>
      <c r="D107" s="14">
        <v>3</v>
      </c>
      <c r="E107" s="14">
        <v>6</v>
      </c>
      <c r="F107" s="15" t="s">
        <v>133</v>
      </c>
      <c r="G107" s="26">
        <v>1</v>
      </c>
      <c r="H107" s="27">
        <v>1.5393518518518518E-2</v>
      </c>
      <c r="I107" s="17">
        <v>1330</v>
      </c>
      <c r="J107" s="28">
        <v>1.5532407407407408E-2</v>
      </c>
      <c r="K107" s="19">
        <v>1342</v>
      </c>
      <c r="L107" s="20">
        <v>1.3888888888888978E-4</v>
      </c>
      <c r="M107" s="21">
        <v>12</v>
      </c>
      <c r="N107" s="21">
        <v>7.2</v>
      </c>
      <c r="O107" s="38">
        <v>53</v>
      </c>
      <c r="P107" s="38">
        <v>7</v>
      </c>
      <c r="Q107" s="42">
        <v>8</v>
      </c>
      <c r="R107" s="44">
        <v>0.13207547169811321</v>
      </c>
      <c r="S107" s="44">
        <v>0.15094339622641509</v>
      </c>
      <c r="T107" s="40">
        <f t="shared" si="3"/>
        <v>381.6</v>
      </c>
      <c r="U107" s="22" t="s">
        <v>21</v>
      </c>
      <c r="V107" s="22" t="s">
        <v>21</v>
      </c>
      <c r="W107" s="29">
        <v>0</v>
      </c>
      <c r="X107" s="30">
        <v>0</v>
      </c>
      <c r="Y107" s="25" t="s">
        <v>108</v>
      </c>
    </row>
    <row r="108" spans="1:25" hidden="1" x14ac:dyDescent="0.3">
      <c r="A108" s="14">
        <v>44</v>
      </c>
      <c r="B108" s="14">
        <v>3</v>
      </c>
      <c r="C108" s="14" t="s">
        <v>53</v>
      </c>
      <c r="D108" s="14">
        <v>2</v>
      </c>
      <c r="E108" s="14">
        <v>3</v>
      </c>
      <c r="F108" s="15" t="s">
        <v>134</v>
      </c>
      <c r="G108" s="26">
        <v>1</v>
      </c>
      <c r="H108" s="27">
        <v>5.324074074074074E-3</v>
      </c>
      <c r="I108" s="17">
        <v>460</v>
      </c>
      <c r="J108" s="28">
        <v>5.5324074074074078E-3</v>
      </c>
      <c r="K108" s="19">
        <v>478</v>
      </c>
      <c r="L108" s="20">
        <v>2.0833333333333381E-4</v>
      </c>
      <c r="M108" s="21">
        <v>18</v>
      </c>
      <c r="N108" s="21">
        <v>10</v>
      </c>
      <c r="O108" s="38">
        <v>48</v>
      </c>
      <c r="P108" s="38">
        <v>20</v>
      </c>
      <c r="Q108" s="42">
        <v>16</v>
      </c>
      <c r="R108" s="44">
        <v>0.41666666666666669</v>
      </c>
      <c r="S108" s="44">
        <v>0.33333333333333331</v>
      </c>
      <c r="T108" s="40">
        <f t="shared" si="3"/>
        <v>480</v>
      </c>
      <c r="U108" s="22" t="s">
        <v>21</v>
      </c>
      <c r="V108" s="22" t="s">
        <v>21</v>
      </c>
      <c r="W108" s="29">
        <v>1</v>
      </c>
      <c r="X108" s="30">
        <v>1</v>
      </c>
      <c r="Y108" s="25" t="s">
        <v>108</v>
      </c>
    </row>
    <row r="109" spans="1:25" hidden="1" x14ac:dyDescent="0.3">
      <c r="A109" s="14">
        <v>44</v>
      </c>
      <c r="B109" s="14">
        <v>3</v>
      </c>
      <c r="C109" s="14" t="s">
        <v>53</v>
      </c>
      <c r="D109" s="14">
        <v>3</v>
      </c>
      <c r="E109" s="14">
        <v>3</v>
      </c>
      <c r="F109" s="15" t="s">
        <v>135</v>
      </c>
      <c r="G109" s="26">
        <v>1</v>
      </c>
      <c r="H109" s="27">
        <v>4.5949074074074078E-3</v>
      </c>
      <c r="I109" s="17">
        <v>397</v>
      </c>
      <c r="J109" s="28">
        <v>4.6990740740740743E-3</v>
      </c>
      <c r="K109" s="19">
        <v>406</v>
      </c>
      <c r="L109" s="20">
        <v>1.0416666666666647E-4</v>
      </c>
      <c r="M109" s="21">
        <v>9</v>
      </c>
      <c r="N109" s="21">
        <v>12.8</v>
      </c>
      <c r="O109" s="38">
        <v>8</v>
      </c>
      <c r="P109" s="38">
        <v>3</v>
      </c>
      <c r="Q109" s="42">
        <v>1</v>
      </c>
      <c r="R109" s="44">
        <v>0.375</v>
      </c>
      <c r="S109" s="44">
        <v>0.125</v>
      </c>
      <c r="T109" s="40">
        <f t="shared" si="3"/>
        <v>102.4</v>
      </c>
      <c r="U109" s="22" t="s">
        <v>21</v>
      </c>
      <c r="V109" s="22" t="s">
        <v>21</v>
      </c>
      <c r="W109" s="29">
        <v>1</v>
      </c>
      <c r="X109" s="30">
        <v>0</v>
      </c>
      <c r="Y109" s="25" t="s">
        <v>108</v>
      </c>
    </row>
    <row r="110" spans="1:25" hidden="1" x14ac:dyDescent="0.3">
      <c r="A110" s="14">
        <v>44</v>
      </c>
      <c r="B110" s="14">
        <v>3</v>
      </c>
      <c r="C110" s="14" t="s">
        <v>53</v>
      </c>
      <c r="D110" s="14">
        <v>3</v>
      </c>
      <c r="E110" s="14">
        <v>6</v>
      </c>
      <c r="F110" s="15" t="s">
        <v>136</v>
      </c>
      <c r="G110" s="26">
        <v>1</v>
      </c>
      <c r="H110" s="27">
        <v>1.2106481481481482E-2</v>
      </c>
      <c r="I110" s="17">
        <v>1046</v>
      </c>
      <c r="J110" s="28">
        <v>1.2164351851851852E-2</v>
      </c>
      <c r="K110" s="19">
        <v>1051</v>
      </c>
      <c r="L110" s="20">
        <v>5.7870370370369587E-5</v>
      </c>
      <c r="M110" s="21">
        <v>5</v>
      </c>
      <c r="N110" s="21">
        <v>7.8</v>
      </c>
      <c r="O110" s="38">
        <v>36</v>
      </c>
      <c r="P110" s="38">
        <v>14</v>
      </c>
      <c r="Q110" s="42">
        <v>20</v>
      </c>
      <c r="R110" s="44">
        <v>0.3888888888888889</v>
      </c>
      <c r="S110" s="44">
        <v>0.55555555555555558</v>
      </c>
      <c r="T110" s="40">
        <f t="shared" si="3"/>
        <v>280.8</v>
      </c>
      <c r="U110" s="22" t="s">
        <v>21</v>
      </c>
      <c r="V110" s="22" t="s">
        <v>21</v>
      </c>
      <c r="W110" s="29">
        <v>1</v>
      </c>
      <c r="X110" s="30">
        <v>1</v>
      </c>
      <c r="Y110" s="25" t="s">
        <v>108</v>
      </c>
    </row>
    <row r="111" spans="1:25" hidden="1" x14ac:dyDescent="0.3">
      <c r="A111" s="14">
        <v>44</v>
      </c>
      <c r="B111" s="14">
        <v>4</v>
      </c>
      <c r="C111" s="25" t="s">
        <v>57</v>
      </c>
      <c r="D111" s="25">
        <v>1</v>
      </c>
      <c r="E111" s="25">
        <v>3</v>
      </c>
      <c r="F111" s="25" t="s">
        <v>137</v>
      </c>
      <c r="G111" s="26">
        <v>1</v>
      </c>
      <c r="H111" s="27">
        <v>2.1759259259259258E-3</v>
      </c>
      <c r="I111" s="17">
        <v>188</v>
      </c>
      <c r="J111" s="28">
        <v>2.2800925925925927E-3</v>
      </c>
      <c r="K111" s="19">
        <v>197</v>
      </c>
      <c r="L111" s="31">
        <v>1.041666666666669E-4</v>
      </c>
      <c r="M111" s="21">
        <v>9</v>
      </c>
      <c r="N111" s="21">
        <v>9</v>
      </c>
      <c r="O111" s="38">
        <v>57</v>
      </c>
      <c r="P111" s="38">
        <v>19</v>
      </c>
      <c r="Q111" s="42">
        <v>6</v>
      </c>
      <c r="R111" s="44">
        <v>0.33333333333333331</v>
      </c>
      <c r="S111" s="44">
        <v>0.10526315789473684</v>
      </c>
      <c r="T111" s="40">
        <f t="shared" si="3"/>
        <v>513</v>
      </c>
      <c r="U111" s="35" t="s">
        <v>21</v>
      </c>
      <c r="V111" s="35" t="s">
        <v>21</v>
      </c>
      <c r="W111" s="33">
        <v>0</v>
      </c>
      <c r="X111" s="34">
        <v>1</v>
      </c>
      <c r="Y111" s="25" t="s">
        <v>108</v>
      </c>
    </row>
    <row r="112" spans="1:25" hidden="1" x14ac:dyDescent="0.3">
      <c r="A112" s="14">
        <v>44</v>
      </c>
      <c r="B112" s="14">
        <v>4</v>
      </c>
      <c r="C112" s="25" t="s">
        <v>57</v>
      </c>
      <c r="D112" s="25">
        <v>1</v>
      </c>
      <c r="E112" s="25">
        <v>6</v>
      </c>
      <c r="F112" s="36" t="s">
        <v>138</v>
      </c>
      <c r="G112" s="26">
        <v>1</v>
      </c>
      <c r="H112" s="27">
        <v>2.1203703703703704E-2</v>
      </c>
      <c r="I112" s="17">
        <v>1832</v>
      </c>
      <c r="J112" s="28">
        <v>2.1296296296296296E-2</v>
      </c>
      <c r="K112" s="19">
        <v>1840</v>
      </c>
      <c r="L112" s="31">
        <v>9.2592592592592032E-5</v>
      </c>
      <c r="M112" s="21">
        <v>8</v>
      </c>
      <c r="N112" s="21">
        <v>8.4</v>
      </c>
      <c r="O112" s="38">
        <v>39</v>
      </c>
      <c r="P112" s="38">
        <v>21</v>
      </c>
      <c r="Q112" s="42">
        <v>13</v>
      </c>
      <c r="R112" s="44">
        <v>0.53846153846153844</v>
      </c>
      <c r="S112" s="44">
        <v>0.33333333333333331</v>
      </c>
      <c r="T112" s="40">
        <f t="shared" si="3"/>
        <v>327.60000000000002</v>
      </c>
      <c r="U112" s="35" t="s">
        <v>21</v>
      </c>
      <c r="V112" s="35" t="s">
        <v>21</v>
      </c>
      <c r="W112" s="33">
        <v>1</v>
      </c>
      <c r="X112" s="34">
        <v>0</v>
      </c>
      <c r="Y112" s="25" t="s">
        <v>108</v>
      </c>
    </row>
    <row r="113" spans="1:25" hidden="1" x14ac:dyDescent="0.3">
      <c r="A113" s="14">
        <v>44</v>
      </c>
      <c r="B113" s="14">
        <v>4</v>
      </c>
      <c r="C113" s="25" t="s">
        <v>57</v>
      </c>
      <c r="D113" s="25">
        <v>2</v>
      </c>
      <c r="E113" s="25">
        <v>3</v>
      </c>
      <c r="F113" s="25" t="s">
        <v>139</v>
      </c>
      <c r="G113" s="26">
        <v>1</v>
      </c>
      <c r="H113" s="27">
        <v>3.2870370370370369E-2</v>
      </c>
      <c r="I113" s="17">
        <v>2840</v>
      </c>
      <c r="J113" s="28">
        <v>3.3055555555555553E-2</v>
      </c>
      <c r="K113" s="19">
        <v>2856</v>
      </c>
      <c r="L113" s="31">
        <v>1.8518518518518406E-4</v>
      </c>
      <c r="M113" s="21">
        <v>16</v>
      </c>
      <c r="N113" s="21">
        <v>15.2</v>
      </c>
      <c r="O113" s="38">
        <v>27</v>
      </c>
      <c r="P113" s="38">
        <v>11</v>
      </c>
      <c r="Q113" s="42">
        <v>6</v>
      </c>
      <c r="R113" s="44">
        <v>0.40740740740740738</v>
      </c>
      <c r="S113" s="44">
        <v>0.22222222222222221</v>
      </c>
      <c r="T113" s="40">
        <f t="shared" si="3"/>
        <v>410.4</v>
      </c>
      <c r="U113" s="35" t="s">
        <v>21</v>
      </c>
      <c r="V113" s="35" t="s">
        <v>21</v>
      </c>
      <c r="W113" s="33">
        <v>1</v>
      </c>
      <c r="X113" s="34">
        <v>1</v>
      </c>
      <c r="Y113" s="25" t="s">
        <v>108</v>
      </c>
    </row>
    <row r="114" spans="1:25" hidden="1" x14ac:dyDescent="0.3">
      <c r="A114" s="14">
        <v>44</v>
      </c>
      <c r="B114" s="14">
        <v>4</v>
      </c>
      <c r="C114" s="25" t="s">
        <v>57</v>
      </c>
      <c r="D114" s="25">
        <v>2</v>
      </c>
      <c r="E114" s="25">
        <v>6</v>
      </c>
      <c r="F114" s="25" t="s">
        <v>140</v>
      </c>
      <c r="G114" s="26">
        <v>1</v>
      </c>
      <c r="H114" s="27">
        <v>6.3194444444444444E-3</v>
      </c>
      <c r="I114" s="17">
        <v>546</v>
      </c>
      <c r="J114" s="28">
        <v>6.4467592592592588E-3</v>
      </c>
      <c r="K114" s="19">
        <v>557</v>
      </c>
      <c r="L114" s="31">
        <v>1.2731481481481448E-4</v>
      </c>
      <c r="M114" s="21">
        <v>11</v>
      </c>
      <c r="N114" s="21">
        <v>13.4</v>
      </c>
      <c r="O114" s="38">
        <v>56</v>
      </c>
      <c r="P114" s="38">
        <v>18</v>
      </c>
      <c r="Q114" s="42">
        <v>8</v>
      </c>
      <c r="R114" s="44">
        <v>0.32142857142857145</v>
      </c>
      <c r="S114" s="44">
        <v>0.14285714285714285</v>
      </c>
      <c r="T114" s="40">
        <f t="shared" si="3"/>
        <v>750.4</v>
      </c>
      <c r="U114" s="35" t="s">
        <v>21</v>
      </c>
      <c r="V114" s="35" t="s">
        <v>21</v>
      </c>
      <c r="W114" s="33">
        <v>0</v>
      </c>
      <c r="X114" s="34">
        <v>0</v>
      </c>
      <c r="Y114" s="25" t="s">
        <v>108</v>
      </c>
    </row>
    <row r="115" spans="1:25" hidden="1" x14ac:dyDescent="0.3">
      <c r="A115" s="14">
        <v>44</v>
      </c>
      <c r="B115" s="14">
        <v>4</v>
      </c>
      <c r="C115" s="25" t="s">
        <v>57</v>
      </c>
      <c r="D115" s="25">
        <v>3</v>
      </c>
      <c r="E115" s="25">
        <v>3</v>
      </c>
      <c r="F115" s="25" t="s">
        <v>141</v>
      </c>
      <c r="G115" s="26">
        <v>1</v>
      </c>
      <c r="H115" s="27">
        <v>7.6504629629629631E-3</v>
      </c>
      <c r="I115" s="17">
        <v>661</v>
      </c>
      <c r="J115" s="28">
        <v>7.8472222222222224E-3</v>
      </c>
      <c r="K115" s="19">
        <v>678</v>
      </c>
      <c r="L115" s="31">
        <v>1.9675925925925937E-4</v>
      </c>
      <c r="M115" s="21">
        <v>17</v>
      </c>
      <c r="N115" s="21">
        <v>13.8</v>
      </c>
      <c r="O115" s="38">
        <v>55</v>
      </c>
      <c r="P115" s="38">
        <v>14</v>
      </c>
      <c r="Q115" s="42">
        <v>8</v>
      </c>
      <c r="R115" s="44">
        <v>0.25454545454545452</v>
      </c>
      <c r="S115" s="44">
        <v>0.14545454545454545</v>
      </c>
      <c r="T115" s="40">
        <f t="shared" si="3"/>
        <v>759</v>
      </c>
      <c r="U115" s="35" t="s">
        <v>21</v>
      </c>
      <c r="V115" s="35" t="s">
        <v>21</v>
      </c>
      <c r="W115" s="33">
        <v>0</v>
      </c>
      <c r="X115" s="34">
        <v>0</v>
      </c>
      <c r="Y115" s="25" t="s">
        <v>108</v>
      </c>
    </row>
    <row r="116" spans="1:25" hidden="1" x14ac:dyDescent="0.3">
      <c r="A116" s="14">
        <v>44</v>
      </c>
      <c r="B116" s="14">
        <v>4</v>
      </c>
      <c r="C116" s="25" t="s">
        <v>57</v>
      </c>
      <c r="D116" s="25">
        <v>3</v>
      </c>
      <c r="E116" s="25">
        <v>6</v>
      </c>
      <c r="F116" s="25" t="s">
        <v>142</v>
      </c>
      <c r="G116" s="26">
        <v>1</v>
      </c>
      <c r="H116" s="27">
        <v>2.8124999999999999E-3</v>
      </c>
      <c r="I116" s="17">
        <v>243</v>
      </c>
      <c r="J116" s="28">
        <v>2.8819444444444444E-3</v>
      </c>
      <c r="K116" s="19">
        <v>249</v>
      </c>
      <c r="L116" s="31">
        <v>6.9444444444444458E-5</v>
      </c>
      <c r="M116" s="21">
        <v>6</v>
      </c>
      <c r="N116" s="21">
        <v>14.2</v>
      </c>
      <c r="O116" s="38">
        <v>73</v>
      </c>
      <c r="P116" s="38">
        <v>23</v>
      </c>
      <c r="Q116" s="42">
        <v>13</v>
      </c>
      <c r="R116" s="44">
        <v>0.31506849315068491</v>
      </c>
      <c r="S116" s="44">
        <v>0.17808219178082191</v>
      </c>
      <c r="T116" s="40">
        <f t="shared" si="3"/>
        <v>1036.5999999999999</v>
      </c>
      <c r="U116" s="35" t="s">
        <v>21</v>
      </c>
      <c r="V116" s="35" t="s">
        <v>21</v>
      </c>
      <c r="W116" s="33">
        <v>0</v>
      </c>
      <c r="X116" s="34">
        <v>0</v>
      </c>
      <c r="Y116" s="25" t="s">
        <v>108</v>
      </c>
    </row>
    <row r="117" spans="1:25" hidden="1" x14ac:dyDescent="0.3">
      <c r="A117" s="14">
        <v>44</v>
      </c>
      <c r="B117" s="14">
        <v>4</v>
      </c>
      <c r="C117" s="25" t="s">
        <v>64</v>
      </c>
      <c r="D117" s="25">
        <v>1</v>
      </c>
      <c r="E117" s="25">
        <v>3</v>
      </c>
      <c r="F117" s="25" t="s">
        <v>143</v>
      </c>
      <c r="G117" s="26">
        <v>1</v>
      </c>
      <c r="H117" s="27">
        <v>7.2106481481481483E-3</v>
      </c>
      <c r="I117" s="17">
        <v>623</v>
      </c>
      <c r="J117" s="28">
        <v>7.2916666666666668E-3</v>
      </c>
      <c r="K117" s="19">
        <v>630</v>
      </c>
      <c r="L117" s="31">
        <v>8.1018518518518462E-5</v>
      </c>
      <c r="M117" s="21">
        <v>7</v>
      </c>
      <c r="N117" s="21">
        <v>10.8</v>
      </c>
      <c r="O117" s="38">
        <v>50</v>
      </c>
      <c r="P117" s="38">
        <v>19</v>
      </c>
      <c r="Q117" s="42">
        <v>8</v>
      </c>
      <c r="R117" s="44">
        <v>0.38</v>
      </c>
      <c r="S117" s="44">
        <v>0.16</v>
      </c>
      <c r="T117" s="40">
        <f t="shared" si="3"/>
        <v>540</v>
      </c>
      <c r="U117" s="35" t="s">
        <v>21</v>
      </c>
      <c r="V117" s="35" t="s">
        <v>21</v>
      </c>
      <c r="W117" s="33">
        <v>1</v>
      </c>
      <c r="X117" s="34">
        <v>0</v>
      </c>
      <c r="Y117" s="25" t="s">
        <v>108</v>
      </c>
    </row>
    <row r="118" spans="1:25" hidden="1" x14ac:dyDescent="0.3">
      <c r="A118" s="14">
        <v>44</v>
      </c>
      <c r="B118" s="14">
        <v>4</v>
      </c>
      <c r="C118" s="25" t="s">
        <v>64</v>
      </c>
      <c r="D118" s="25">
        <v>1</v>
      </c>
      <c r="E118" s="25">
        <v>6</v>
      </c>
      <c r="F118" s="41" t="s">
        <v>144</v>
      </c>
      <c r="G118" s="26">
        <v>1</v>
      </c>
      <c r="H118" s="27">
        <v>7.0601851851851847E-4</v>
      </c>
      <c r="I118" s="17">
        <v>61</v>
      </c>
      <c r="J118" s="28">
        <v>7.8703703703703705E-4</v>
      </c>
      <c r="K118" s="19">
        <v>68</v>
      </c>
      <c r="L118" s="31">
        <v>8.101851851851857E-5</v>
      </c>
      <c r="M118" s="21">
        <v>7</v>
      </c>
      <c r="N118" s="21">
        <v>9.8000000000000007</v>
      </c>
      <c r="O118" s="38">
        <v>75</v>
      </c>
      <c r="P118" s="38">
        <v>21</v>
      </c>
      <c r="Q118" s="42">
        <v>20</v>
      </c>
      <c r="R118" s="44">
        <v>0.28000000000000003</v>
      </c>
      <c r="S118" s="44">
        <v>0.26666666666666666</v>
      </c>
      <c r="T118" s="40">
        <f t="shared" si="3"/>
        <v>735</v>
      </c>
      <c r="U118" s="35" t="s">
        <v>21</v>
      </c>
      <c r="V118" s="35" t="s">
        <v>21</v>
      </c>
      <c r="W118" s="33">
        <v>0</v>
      </c>
      <c r="X118" s="34">
        <v>0</v>
      </c>
      <c r="Y118" s="25" t="s">
        <v>108</v>
      </c>
    </row>
    <row r="119" spans="1:25" hidden="1" x14ac:dyDescent="0.3">
      <c r="A119" s="14">
        <v>44</v>
      </c>
      <c r="B119" s="14">
        <v>4</v>
      </c>
      <c r="C119" s="25" t="s">
        <v>64</v>
      </c>
      <c r="D119" s="25">
        <v>2</v>
      </c>
      <c r="E119" s="25">
        <v>3</v>
      </c>
      <c r="F119" s="25" t="s">
        <v>145</v>
      </c>
      <c r="G119" s="26">
        <v>1</v>
      </c>
      <c r="H119" s="27">
        <v>3.6574074074074074E-3</v>
      </c>
      <c r="I119" s="17">
        <v>316</v>
      </c>
      <c r="J119" s="28">
        <v>3.7962962962962963E-3</v>
      </c>
      <c r="K119" s="19">
        <v>328</v>
      </c>
      <c r="L119" s="31">
        <v>1.3888888888888892E-4</v>
      </c>
      <c r="M119" s="21">
        <v>12</v>
      </c>
      <c r="N119" s="21">
        <v>14.8</v>
      </c>
      <c r="O119" s="38">
        <v>70</v>
      </c>
      <c r="P119" s="38">
        <v>13</v>
      </c>
      <c r="Q119" s="42">
        <v>4</v>
      </c>
      <c r="R119" s="44">
        <v>0.18571428571428572</v>
      </c>
      <c r="S119" s="44">
        <v>5.7142857142857141E-2</v>
      </c>
      <c r="T119" s="40">
        <f t="shared" si="3"/>
        <v>1036</v>
      </c>
      <c r="U119" s="35" t="s">
        <v>21</v>
      </c>
      <c r="V119" s="35" t="s">
        <v>21</v>
      </c>
      <c r="W119" s="33">
        <v>1</v>
      </c>
      <c r="X119" s="34">
        <v>0</v>
      </c>
      <c r="Y119" s="25" t="s">
        <v>108</v>
      </c>
    </row>
    <row r="120" spans="1:25" hidden="1" x14ac:dyDescent="0.3">
      <c r="A120" s="14">
        <v>44</v>
      </c>
      <c r="B120" s="14">
        <v>4</v>
      </c>
      <c r="C120" s="25" t="s">
        <v>64</v>
      </c>
      <c r="D120" s="25">
        <v>2</v>
      </c>
      <c r="E120" s="25">
        <v>6</v>
      </c>
      <c r="F120" s="25" t="s">
        <v>146</v>
      </c>
      <c r="G120" s="26">
        <v>1</v>
      </c>
      <c r="H120" s="27">
        <v>6.8055555555555551E-3</v>
      </c>
      <c r="I120" s="17">
        <v>588</v>
      </c>
      <c r="J120" s="28">
        <v>6.9560185185185185E-3</v>
      </c>
      <c r="K120" s="19">
        <v>601</v>
      </c>
      <c r="L120" s="31">
        <v>1.5046296296296335E-4</v>
      </c>
      <c r="M120" s="21">
        <v>13</v>
      </c>
      <c r="N120" s="21">
        <v>11.2</v>
      </c>
      <c r="O120" s="38">
        <v>42</v>
      </c>
      <c r="P120" s="38">
        <v>14</v>
      </c>
      <c r="Q120" s="42">
        <v>4</v>
      </c>
      <c r="R120" s="44">
        <v>0.33333333333333331</v>
      </c>
      <c r="S120" s="44">
        <v>9.5238095238095233E-2</v>
      </c>
      <c r="T120" s="40">
        <f t="shared" si="3"/>
        <v>470.4</v>
      </c>
      <c r="U120" s="35" t="s">
        <v>21</v>
      </c>
      <c r="V120" s="35" t="s">
        <v>21</v>
      </c>
      <c r="W120" s="33">
        <v>0</v>
      </c>
      <c r="X120" s="34">
        <v>0</v>
      </c>
      <c r="Y120" s="25" t="s">
        <v>108</v>
      </c>
    </row>
    <row r="121" spans="1:25" hidden="1" x14ac:dyDescent="0.3">
      <c r="A121" s="14">
        <v>44</v>
      </c>
      <c r="B121" s="14">
        <v>4</v>
      </c>
      <c r="C121" s="25" t="s">
        <v>64</v>
      </c>
      <c r="D121" s="25">
        <v>3</v>
      </c>
      <c r="E121" s="25">
        <v>3</v>
      </c>
      <c r="F121" s="25" t="s">
        <v>141</v>
      </c>
      <c r="G121" s="26">
        <v>1</v>
      </c>
      <c r="H121" s="27">
        <v>5.3240740740740744E-4</v>
      </c>
      <c r="I121" s="17">
        <v>46</v>
      </c>
      <c r="J121" s="28">
        <v>6.2500000000000001E-4</v>
      </c>
      <c r="K121" s="19">
        <v>54</v>
      </c>
      <c r="L121" s="31">
        <v>9.2592592592592574E-5</v>
      </c>
      <c r="M121" s="21">
        <v>8</v>
      </c>
      <c r="N121" s="21">
        <v>12.6</v>
      </c>
      <c r="O121" s="38">
        <v>61</v>
      </c>
      <c r="P121" s="38">
        <v>17</v>
      </c>
      <c r="Q121" s="42">
        <v>13</v>
      </c>
      <c r="R121" s="44">
        <v>0.27868852459016391</v>
      </c>
      <c r="S121" s="44">
        <v>0.21311475409836064</v>
      </c>
      <c r="T121" s="40">
        <f t="shared" si="3"/>
        <v>768.6</v>
      </c>
      <c r="U121" s="35" t="s">
        <v>21</v>
      </c>
      <c r="V121" s="35" t="s">
        <v>21</v>
      </c>
      <c r="W121" s="33">
        <v>0</v>
      </c>
      <c r="X121" s="34">
        <v>0</v>
      </c>
      <c r="Y121" s="25" t="s">
        <v>108</v>
      </c>
    </row>
    <row r="122" spans="1:25" hidden="1" x14ac:dyDescent="0.3">
      <c r="A122" s="14">
        <v>44</v>
      </c>
      <c r="B122" s="14">
        <v>4</v>
      </c>
      <c r="C122" s="25" t="s">
        <v>64</v>
      </c>
      <c r="D122" s="25">
        <v>3</v>
      </c>
      <c r="E122" s="25">
        <v>6</v>
      </c>
      <c r="F122" s="25" t="s">
        <v>142</v>
      </c>
      <c r="G122" s="26">
        <v>1</v>
      </c>
      <c r="H122" s="27">
        <v>2.0949074074074073E-3</v>
      </c>
      <c r="I122" s="17">
        <v>181</v>
      </c>
      <c r="J122" s="28">
        <v>2.3611111111111111E-3</v>
      </c>
      <c r="K122" s="19">
        <v>204</v>
      </c>
      <c r="L122" s="31">
        <v>2.6620370370370383E-4</v>
      </c>
      <c r="M122" s="21">
        <v>23</v>
      </c>
      <c r="N122" s="21">
        <v>18</v>
      </c>
      <c r="O122" s="38">
        <v>47</v>
      </c>
      <c r="P122" s="38">
        <v>10</v>
      </c>
      <c r="Q122" s="42">
        <v>8</v>
      </c>
      <c r="R122" s="44">
        <v>0.21276595744680851</v>
      </c>
      <c r="S122" s="44">
        <v>0.1702127659574468</v>
      </c>
      <c r="T122" s="40">
        <f t="shared" si="3"/>
        <v>846</v>
      </c>
      <c r="U122" s="35" t="s">
        <v>21</v>
      </c>
      <c r="V122" s="35" t="s">
        <v>21</v>
      </c>
      <c r="W122" s="33">
        <v>0</v>
      </c>
      <c r="X122" s="34">
        <v>0</v>
      </c>
      <c r="Y122" s="25" t="s">
        <v>108</v>
      </c>
    </row>
  </sheetData>
  <autoFilter ref="A1:Y122">
    <filterColumn colId="24">
      <filters>
        <filter val="M"/>
      </filters>
    </filterColumn>
  </autoFilter>
  <conditionalFormatting sqref="W3:X4 C3:G4 W30:X33 C30:G33 W8:X11 W15:X25 C8:G11 C15:G25 W67:X75 C67:G75 W39:X42 C39:G42 W46:X46 C46:G46 W50:X58 W62:X62 C50:G58 C62:G62 U120:V122 W109:X119 C109:G122 W82:X84 C79:G84 W104:X104 C104:G104 W88:X100 C88:G100">
    <cfRule type="expression" dxfId="20" priority="13">
      <formula>ISODD(INT(ROW(D6)/5))</formula>
    </cfRule>
  </conditionalFormatting>
  <conditionalFormatting sqref="U3:V4 H3:H4 J3:J4 A3:A4 A8:A11 A30:B33 U30:V33 H30:H33 J30:J33 A39:B41 A15:B25 U8:V11 U15:V25 H8:H11 H15:H25 J8:J11 J15:J25 U67:V75 A67:B75 A79:B81 H67:H75 J67:J75 U39:V42 H39:H42 J39:J42 A42 U46:V46 H46 J46 A46 A50 A51:B58 A62:B62 U50:V58 U62:V62 H50:H58 H62 J50:J58 J62 W79:W81 U109:V119 A109:B122 H109:H122 J109:J122 U82:V84 H79:H84 J79:J84 A82:A84 A88:A92 U104:V104 A104:B104 H104 J104 A93:B100 U88:V100 H88:H100 J88:J100">
    <cfRule type="expression" dxfId="19" priority="14">
      <formula>ISODD(INT(ROW(C6)/5))</formula>
    </cfRule>
  </conditionalFormatting>
  <conditionalFormatting sqref="L3:L4 L30:L33 L8:L11 L15:L25 L67:L75 L39:L42 L46 L50:L58 L62 L109:L119 L82:L84 L104 L88:L100">
    <cfRule type="expression" dxfId="18" priority="15">
      <formula>ISODD(INT(ROW(U6)/5))</formula>
    </cfRule>
  </conditionalFormatting>
  <conditionalFormatting sqref="W7:X7 C7:G7 W29:X29 C29:G29 W66:X66 C66:G66 W45:X45 C45:G45 W107:X107 C107:G107">
    <cfRule type="expression" dxfId="17" priority="18">
      <formula>ISODD(INT(ROW(D8)/5))</formula>
    </cfRule>
  </conditionalFormatting>
  <conditionalFormatting sqref="W5:X6 C5:G6 W26:X26 C26:G26 W34:X34 C34:G34 W12:X12 C12:G12 W63:X63 C63:G63 W76:X76 C76:G76 W43:X44 C43:G44 W47:X47 C47:G47 W59:X59 C59:G59 X79:X81 W105:X106 C105:G106 W85:X85 C85:G85 W101:X102 C101:G102">
    <cfRule type="expression" dxfId="16" priority="19">
      <formula>ISODD(INT(ROW(#REF!)/5))</formula>
    </cfRule>
  </conditionalFormatting>
  <conditionalFormatting sqref="U7:V7 H7 J7 A7 A29:B29 U29:V29 H29 J29 U66:V66 A66:B66 H66 J66 U45:V45 H45 J45 A45 U107:V107 A107:B107 H107 J107">
    <cfRule type="expression" dxfId="15" priority="26">
      <formula>ISODD(INT(ROW(C8)/5))</formula>
    </cfRule>
  </conditionalFormatting>
  <conditionalFormatting sqref="U5:V6 H5:H6 J5:J6 A5:A6 A26:B26 U26:V26 H26 J26 A34:B34 U34:V34 H34 J34 A12:B12 U12:V12 H12 J12 U63:V63 A63:B63 H63 J63 U76:V76 A76:B76 H76 J76 U43:V44 H43:H44 J43:J44 A43:A44 U47:V47 H47 J47 A47 A59:B59 U59:V59 H59 J59 U105:V106 A105:B106 H105:H106 J105:J106 U85:V85 H85 J85 A85 A101:B102 U101:V102 H101:H102 J101:J102">
    <cfRule type="expression" dxfId="14" priority="27">
      <formula>ISODD(INT(ROW(#REF!)/5))</formula>
    </cfRule>
  </conditionalFormatting>
  <conditionalFormatting sqref="L7 L29 L66 L45 L107">
    <cfRule type="expression" dxfId="13" priority="42">
      <formula>ISODD(INT(ROW(U8)/5))</formula>
    </cfRule>
  </conditionalFormatting>
  <conditionalFormatting sqref="L5:L6 L26 L34 L12 L63 L76">
    <cfRule type="expression" dxfId="12" priority="43">
      <formula>ISODD(INT(ROW(#REF!)/5))</formula>
    </cfRule>
  </conditionalFormatting>
  <conditionalFormatting sqref="W27:X27 C27:G27 W35:X38 C35:G38 W13:X14 C13:G14 W64:X64 C64:G64 W77:X78 C77:G78 W48:X49 C48:G49 W60:X61 C60:G61 W108:X108 C108:G108 W86:X87 C86:G87">
    <cfRule type="expression" dxfId="11" priority="46">
      <formula>ISODD(INT(ROW(D15)/5))</formula>
    </cfRule>
  </conditionalFormatting>
  <conditionalFormatting sqref="A27:B27 U27:V27 H27 J27 A35:B38 U35:V38 H35:H38 J35:J38 A13:B14 U13:V14 H13:H14 J13:J14 U64:V64 A64:B64 H64 J64 U77:V78 A77:B78 H77:H78 J77:J78 U48:V49 H48:H49 J48:J49 A48:A49 A60:B61 U60:V61 H60:H61 J60:J61 U108:V108 A108:B108 H108 J108 U86:V87 H86:H87 J86:J87 A86:A87">
    <cfRule type="expression" dxfId="10" priority="54">
      <formula>ISODD(INT(ROW(C15)/5))</formula>
    </cfRule>
  </conditionalFormatting>
  <conditionalFormatting sqref="L27 L35:L38 L13:L14 L64 L77:L78 L48:L49 L60:L61 L108 L86:L87">
    <cfRule type="expression" dxfId="9" priority="70">
      <formula>ISODD(INT(ROW(U15)/5))</formula>
    </cfRule>
  </conditionalFormatting>
  <conditionalFormatting sqref="W28:X28 C28:G28 W65:X65 C65:G65 W103:X103 C103:G103">
    <cfRule type="expression" dxfId="8" priority="86">
      <formula>ISODD(INT(ROW(#REF!)/5))</formula>
    </cfRule>
  </conditionalFormatting>
  <conditionalFormatting sqref="A28:B28 U28:V28 H28 J28 U65:V65 A65:B65 H65 J65 U103:V103 A103:B103 H103 J103">
    <cfRule type="expression" dxfId="7" priority="90">
      <formula>ISODD(INT(ROW(#REF!)/5))</formula>
    </cfRule>
  </conditionalFormatting>
  <conditionalFormatting sqref="L28 L65">
    <cfRule type="expression" dxfId="6" priority="98">
      <formula>ISODD(INT(ROW(#REF!)/5))</formula>
    </cfRule>
  </conditionalFormatting>
  <conditionalFormatting sqref="L43:L44 L47 L59 L105:L106 L85 L101:L102">
    <cfRule type="expression" dxfId="5" priority="122">
      <formula>ISODD(INT(ROW(#REF!)/5))</formula>
    </cfRule>
  </conditionalFormatting>
  <conditionalFormatting sqref="L120:L122">
    <cfRule type="expression" dxfId="4" priority="5">
      <formula>ISODD(INT(ROW(T123)/5))</formula>
    </cfRule>
  </conditionalFormatting>
  <conditionalFormatting sqref="U79:V81">
    <cfRule type="expression" dxfId="3" priority="1">
      <formula>ISODD(INT(ROW(X82)/5))</formula>
    </cfRule>
  </conditionalFormatting>
  <conditionalFormatting sqref="L79:L81">
    <cfRule type="expression" dxfId="2" priority="126">
      <formula>ISODD(INT(ROW(V82)/5))</formula>
    </cfRule>
  </conditionalFormatting>
  <conditionalFormatting sqref="W120:X122">
    <cfRule type="expression" dxfId="1" priority="127">
      <formula>ISODD(INT(ROW(W123)/5))</formula>
    </cfRule>
  </conditionalFormatting>
  <conditionalFormatting sqref="L103">
    <cfRule type="expression" dxfId="0" priority="147">
      <formula>ISODD(INT(ROW(#REF!)/5))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Aivars</dc:creator>
  <cp:lastModifiedBy>Aivars</cp:lastModifiedBy>
  <dcterms:created xsi:type="dcterms:W3CDTF">2021-10-26T12:26:24Z</dcterms:created>
  <dcterms:modified xsi:type="dcterms:W3CDTF">2021-12-06T22:00:39Z</dcterms:modified>
</cp:coreProperties>
</file>